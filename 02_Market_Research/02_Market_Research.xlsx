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rket_Context" sheetId="2" state="visible" r:id="rId2"/>
    <sheet xmlns:r="http://schemas.openxmlformats.org/officeDocument/2006/relationships" name="Segment_Market" sheetId="3" state="visible" r:id="rId3"/>
    <sheet xmlns:r="http://schemas.openxmlformats.org/officeDocument/2006/relationships" name="Market_Sizing" sheetId="4" state="visible" r:id="rId4"/>
    <sheet xmlns:r="http://schemas.openxmlformats.org/officeDocument/2006/relationships" name="Market_Forecast" sheetId="5" state="visible" r:id="rId5"/>
    <sheet xmlns:r="http://schemas.openxmlformats.org/officeDocument/2006/relationships" name="Demand_Drivers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Valid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2D3D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366092"/>
      </patternFill>
    </fill>
    <fill>
      <patternFill patternType="solid">
        <fgColor rgb="00FCE5CD"/>
      </patternFill>
    </fill>
    <fill>
      <patternFill patternType="solid">
        <fgColor rgb="00FFFFFF"/>
      </patternFill>
    </fill>
    <fill>
      <patternFill patternType="solid">
        <fgColor rgb="00EBF1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02 | Automotive Component Market Research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inlineStr">
        <is>
          <t>Build a transparent market view before selecting a component segment.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Core outputs</t>
        </is>
      </c>
      <c r="B4" s="2" t="inlineStr">
        <is>
          <t>Market size, growth, demand drivers, segment opportunity and source register.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Important</t>
        </is>
      </c>
      <c r="B5" s="2" t="inlineStr">
        <is>
          <t>Values marked Synthetic are case assumptions, not claims about a specific company.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Workflow</t>
        </is>
      </c>
      <c r="B6" s="2" t="inlineStr">
        <is>
          <t>External evidence → assumptions → market calculations → segment implications.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Next use</t>
        </is>
      </c>
      <c r="B7" s="2" t="inlineStr">
        <is>
          <t>Outputs from this workbook feed the Strategy Model in Folder 03.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4" t="inlineStr">
        <is>
          <t>Model discipline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• Do not overwrite formula cells.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• Keep public-source observations separate from synthetic case assumptions.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• Market size calculations are illustrative and should be refreshed with project-specific data.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• All monetary values are ₹ crore unless stated otherwise.</t>
        </is>
      </c>
      <c r="B14" s="2" t="n"/>
      <c r="C14" s="2" t="n"/>
      <c r="D14" s="2" t="n"/>
      <c r="E14" s="2" t="n"/>
      <c r="F14" s="2" t="n"/>
      <c r="G14" s="2" t="n"/>
      <c r="H14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2" customWidth="1" min="5" max="5"/>
    <col width="28" customWidth="1" min="6" max="6"/>
    <col width="28" customWidth="1" min="7" max="7"/>
    <col width="12" customWidth="1" min="8" max="8"/>
  </cols>
  <sheetData>
    <row r="1" ht="28" customHeight="1">
      <c r="A1" s="1" t="inlineStr">
        <is>
          <t>Market Context &amp; External Signals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Metric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Period</t>
        </is>
      </c>
      <c r="E3" s="5" t="inlineStr">
        <is>
          <t>Type</t>
        </is>
      </c>
      <c r="F3" s="5" t="inlineStr">
        <is>
          <t>Source / rationale</t>
        </is>
      </c>
      <c r="G3" s="5" t="inlineStr">
        <is>
          <t>Implication</t>
        </is>
      </c>
      <c r="H3" s="2" t="n"/>
    </row>
    <row r="4">
      <c r="A4" s="2" t="inlineStr">
        <is>
          <t>India automotive industry growth</t>
        </is>
      </c>
      <c r="B4" s="6" t="inlineStr">
        <is>
          <t>8.5</t>
        </is>
      </c>
      <c r="C4" s="2" t="inlineStr">
        <is>
          <t>%</t>
        </is>
      </c>
      <c r="D4" s="2" t="inlineStr">
        <is>
          <t>Illustrative</t>
        </is>
      </c>
      <c r="E4" s="2" t="inlineStr">
        <is>
          <t>Synthetic</t>
        </is>
      </c>
      <c r="F4" s="2" t="inlineStr">
        <is>
          <t>Case planning assumption</t>
        </is>
      </c>
      <c r="G4" s="2" t="inlineStr">
        <is>
          <t>Supports continued component demand</t>
        </is>
      </c>
      <c r="H4" s="2" t="n"/>
    </row>
    <row r="5">
      <c r="A5" s="2" t="inlineStr">
        <is>
          <t>Target addressable component market</t>
        </is>
      </c>
      <c r="B5" s="6" t="inlineStr">
        <is>
          <t>50,000</t>
        </is>
      </c>
      <c r="C5" s="2" t="inlineStr">
        <is>
          <t>₹ crore</t>
        </is>
      </c>
      <c r="D5" s="2" t="inlineStr">
        <is>
          <t>2027</t>
        </is>
      </c>
      <c r="E5" s="2" t="inlineStr">
        <is>
          <t>Synthetic</t>
        </is>
      </c>
      <c r="F5" s="2" t="inlineStr">
        <is>
          <t>Starting market assumption for case</t>
        </is>
      </c>
      <c r="G5" s="2" t="inlineStr">
        <is>
          <t>Base for TAM/SAM build</t>
        </is>
      </c>
      <c r="H5" s="2" t="n"/>
    </row>
    <row r="6">
      <c r="A6" s="2" t="inlineStr">
        <is>
          <t>Market growth rate</t>
        </is>
      </c>
      <c r="B6" s="6" t="inlineStr">
        <is>
          <t>9.0</t>
        </is>
      </c>
      <c r="C6" s="2" t="inlineStr">
        <is>
          <t>% CAGR</t>
        </is>
      </c>
      <c r="D6" s="2" t="inlineStr">
        <is>
          <t>2027–2032</t>
        </is>
      </c>
      <c r="E6" s="2" t="inlineStr">
        <is>
          <t>Synthetic</t>
        </is>
      </c>
      <c r="F6" s="2" t="inlineStr">
        <is>
          <t>Case planning assumption</t>
        </is>
      </c>
      <c r="G6" s="2" t="inlineStr">
        <is>
          <t>Drives market expansion</t>
        </is>
      </c>
      <c r="H6" s="2" t="n"/>
    </row>
    <row r="7">
      <c r="A7" s="2" t="inlineStr">
        <is>
          <t>OEM localization</t>
        </is>
      </c>
      <c r="B7" s="7" t="inlineStr">
        <is>
          <t>High</t>
        </is>
      </c>
      <c r="C7" s="2" t="inlineStr">
        <is>
          <t>Qualitative</t>
        </is>
      </c>
      <c r="D7" s="2" t="inlineStr">
        <is>
          <t>Planning</t>
        </is>
      </c>
      <c r="E7" s="2" t="inlineStr">
        <is>
          <t>Analytical</t>
        </is>
      </c>
      <c r="F7" s="2" t="inlineStr">
        <is>
          <t>Case hypothesis to validate</t>
        </is>
      </c>
      <c r="G7" s="2" t="inlineStr">
        <is>
          <t>Potential supplier opportunity</t>
        </is>
      </c>
      <c r="H7" s="2" t="n"/>
    </row>
    <row r="8">
      <c r="A8" s="2" t="inlineStr">
        <is>
          <t>EV transition</t>
        </is>
      </c>
      <c r="B8" s="7" t="inlineStr">
        <is>
          <t>Material</t>
        </is>
      </c>
      <c r="C8" s="2" t="inlineStr">
        <is>
          <t>Qualitative</t>
        </is>
      </c>
      <c r="D8" s="2" t="inlineStr">
        <is>
          <t>Planning</t>
        </is>
      </c>
      <c r="E8" s="2" t="inlineStr">
        <is>
          <t>Analytical</t>
        </is>
      </c>
      <c r="F8" s="2" t="inlineStr">
        <is>
          <t>Case hypothesis to validate</t>
        </is>
      </c>
      <c r="G8" s="2" t="inlineStr">
        <is>
          <t>Changes component mix</t>
        </is>
      </c>
      <c r="H8" s="2" t="n"/>
    </row>
    <row r="9">
      <c r="A9" s="2" t="inlineStr">
        <is>
          <t>Export opportunity</t>
        </is>
      </c>
      <c r="B9" s="7" t="inlineStr">
        <is>
          <t>Moderate–High</t>
        </is>
      </c>
      <c r="C9" s="2" t="inlineStr">
        <is>
          <t>Qualitative</t>
        </is>
      </c>
      <c r="D9" s="2" t="inlineStr">
        <is>
          <t>Planning</t>
        </is>
      </c>
      <c r="E9" s="2" t="inlineStr">
        <is>
          <t>Analytical</t>
        </is>
      </c>
      <c r="F9" s="2" t="inlineStr">
        <is>
          <t>Case hypothesis to validate</t>
        </is>
      </c>
      <c r="G9" s="2" t="inlineStr">
        <is>
          <t>Expands addressable demand</t>
        </is>
      </c>
      <c r="H9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18" customWidth="1" min="4" max="4"/>
    <col width="21" customWidth="1" min="5" max="5"/>
    <col width="28" customWidth="1" min="6" max="6"/>
    <col width="12" customWidth="1" min="7" max="7"/>
    <col width="12" customWidth="1" min="8" max="8"/>
  </cols>
  <sheetData>
    <row r="1" ht="28" customHeight="1">
      <c r="A1" s="1" t="inlineStr">
        <is>
          <t>Candidate Component Segments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Segment</t>
        </is>
      </c>
      <c r="B3" s="5" t="inlineStr">
        <is>
          <t>2027 Market ₹cr</t>
        </is>
      </c>
      <c r="C3" s="5" t="inlineStr">
        <is>
          <t>Growth %</t>
        </is>
      </c>
      <c r="D3" s="5" t="inlineStr">
        <is>
          <t>2032 Market ₹cr</t>
        </is>
      </c>
      <c r="E3" s="5" t="inlineStr">
        <is>
          <t>Case Share of TAM %</t>
        </is>
      </c>
      <c r="F3" s="5" t="inlineStr">
        <is>
          <t>Strategic Note</t>
        </is>
      </c>
      <c r="G3" s="2" t="n"/>
      <c r="H3" s="2" t="n"/>
    </row>
    <row r="4">
      <c r="A4" s="2" t="inlineStr">
        <is>
          <t>Auto Components</t>
        </is>
      </c>
      <c r="B4" s="2" t="inlineStr">
        <is>
          <t>14000</t>
        </is>
      </c>
      <c r="C4" s="2" t="n">
        <v>8</v>
      </c>
      <c r="D4" s="8">
        <f>B4*(1+C4/100)^5</f>
        <v/>
      </c>
      <c r="E4" s="2" t="n">
        <v>28</v>
      </c>
      <c r="F4" s="2" t="inlineStr">
        <is>
          <t>Large established ecosystem; competitive</t>
        </is>
      </c>
      <c r="G4" s="2" t="n"/>
      <c r="H4" s="2" t="n"/>
    </row>
    <row r="5">
      <c r="A5" s="2" t="inlineStr">
        <is>
          <t>EV Components</t>
        </is>
      </c>
      <c r="B5" s="2" t="inlineStr">
        <is>
          <t>9000</t>
        </is>
      </c>
      <c r="C5" s="2" t="n">
        <v>18</v>
      </c>
      <c r="D5" s="8">
        <f>B5*(1+C5/100)^5</f>
        <v/>
      </c>
      <c r="E5" s="2" t="n">
        <v>18</v>
      </c>
      <c r="F5" s="2" t="inlineStr">
        <is>
          <t>Fast-growing but technology/qualification intensive</t>
        </is>
      </c>
      <c r="G5" s="2" t="n"/>
      <c r="H5" s="2" t="n"/>
    </row>
    <row r="6">
      <c r="A6" s="2" t="inlineStr">
        <is>
          <t>Powertrain Components</t>
        </is>
      </c>
      <c r="B6" s="2" t="inlineStr">
        <is>
          <t>11000</t>
        </is>
      </c>
      <c r="C6" s="2" t="n">
        <v>5</v>
      </c>
      <c r="D6" s="8">
        <f>B6*(1+C6/100)^5</f>
        <v/>
      </c>
      <c r="E6" s="2" t="n">
        <v>22</v>
      </c>
      <c r="F6" s="2" t="inlineStr">
        <is>
          <t>Large installed base; transition risk</t>
        </is>
      </c>
      <c r="G6" s="2" t="n"/>
      <c r="H6" s="2" t="n"/>
    </row>
    <row r="7">
      <c r="A7" s="2" t="inlineStr">
        <is>
          <t>Electronics &amp; Sensors</t>
        </is>
      </c>
      <c r="B7" s="2" t="inlineStr">
        <is>
          <t>7000</t>
        </is>
      </c>
      <c r="C7" s="2" t="n">
        <v>15</v>
      </c>
      <c r="D7" s="8">
        <f>B7*(1+C7/100)^5</f>
        <v/>
      </c>
      <c r="E7" s="2" t="n">
        <v>14</v>
      </c>
      <c r="F7" s="2" t="inlineStr">
        <is>
          <t>Higher growth; capability intensive</t>
        </is>
      </c>
      <c r="G7" s="2" t="n"/>
      <c r="H7" s="2" t="n"/>
    </row>
    <row r="8">
      <c r="A8" s="2" t="inlineStr">
        <is>
          <t>Interior / Body Systems</t>
        </is>
      </c>
      <c r="B8" s="2" t="inlineStr">
        <is>
          <t>5000</t>
        </is>
      </c>
      <c r="C8" s="2" t="n">
        <v>7</v>
      </c>
      <c r="D8" s="8">
        <f>B8*(1+C8/100)^5</f>
        <v/>
      </c>
      <c r="E8" s="2" t="n">
        <v>10</v>
      </c>
      <c r="F8" s="2" t="inlineStr">
        <is>
          <t>Broad customer base; moderate growth</t>
        </is>
      </c>
      <c r="G8" s="2" t="n"/>
      <c r="H8" s="2" t="n"/>
    </row>
    <row r="9">
      <c r="A9" s="2" t="inlineStr">
        <is>
          <t>Industrial / Commercial Vehicle Components</t>
        </is>
      </c>
      <c r="B9" s="2" t="inlineStr">
        <is>
          <t>4000</t>
        </is>
      </c>
      <c r="C9" s="2" t="n">
        <v>6</v>
      </c>
      <c r="D9" s="8">
        <f>B9*(1+C9/100)^5</f>
        <v/>
      </c>
      <c r="E9" s="2" t="n">
        <v>8</v>
      </c>
      <c r="F9" s="2" t="inlineStr">
        <is>
          <t>Niche B2B opportunity</t>
        </is>
      </c>
      <c r="G9" s="2" t="n"/>
      <c r="H9" s="2" t="n"/>
    </row>
    <row r="10">
      <c r="A10" s="9" t="inlineStr">
        <is>
          <t>TOTAL</t>
        </is>
      </c>
      <c r="B10" s="9">
        <f>SUM(B4:B9)</f>
        <v/>
      </c>
      <c r="C10" s="9" t="n"/>
      <c r="D10" s="9">
        <f>SUM(D4:D9)</f>
        <v/>
      </c>
      <c r="E10" s="9">
        <f>SUM(E4:E9)</f>
        <v/>
      </c>
      <c r="F10" s="9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1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TAM / SAM / SOM Build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Layer</t>
        </is>
      </c>
      <c r="B3" s="5" t="inlineStr">
        <is>
          <t>Calculation</t>
        </is>
      </c>
      <c r="C3" s="5" t="inlineStr">
        <is>
          <t>Value ₹cr</t>
        </is>
      </c>
      <c r="D3" s="5" t="inlineStr">
        <is>
          <t>Formula / basis</t>
        </is>
      </c>
      <c r="E3" s="2" t="n"/>
      <c r="F3" s="2" t="n"/>
      <c r="G3" s="2" t="n"/>
      <c r="H3" s="2" t="n"/>
    </row>
    <row r="4">
      <c r="A4" s="2" t="inlineStr">
        <is>
          <t>TAM</t>
        </is>
      </c>
      <c r="B4" s="2" t="inlineStr">
        <is>
          <t>Total candidate segment market</t>
        </is>
      </c>
      <c r="C4" s="8">
        <f>Segment_Market!B10</f>
        <v/>
      </c>
      <c r="D4" s="2" t="inlineStr">
        <is>
          <t>Sum of candidate segment markets</t>
        </is>
      </c>
      <c r="E4" s="2" t="n"/>
      <c r="F4" s="2" t="n"/>
      <c r="G4" s="2" t="n"/>
      <c r="H4" s="2" t="n"/>
    </row>
    <row r="5">
      <c r="A5" s="2" t="inlineStr">
        <is>
          <t>SAM</t>
        </is>
      </c>
      <c r="B5" s="2" t="inlineStr">
        <is>
          <t>TAM × addressable geography / capability</t>
        </is>
      </c>
      <c r="C5" s="8">
        <f>C4*70%</f>
        <v/>
      </c>
      <c r="D5" s="2" t="inlineStr">
        <is>
          <t>Synthetic 70% addressability assumption</t>
        </is>
      </c>
      <c r="E5" s="2" t="n"/>
      <c r="F5" s="2" t="n"/>
      <c r="G5" s="2" t="n"/>
      <c r="H5" s="2" t="n"/>
    </row>
    <row r="6">
      <c r="A6" s="2" t="inlineStr">
        <is>
          <t>SOM Year 5</t>
        </is>
      </c>
      <c r="B6" s="2" t="inlineStr">
        <is>
          <t>SAM × attainable share</t>
        </is>
      </c>
      <c r="C6" s="8">
        <f>C5*8%</f>
        <v/>
      </c>
      <c r="D6" s="2" t="inlineStr">
        <is>
          <t>Synthetic 8% attainable share assumption</t>
        </is>
      </c>
      <c r="E6" s="2" t="n"/>
      <c r="F6" s="2" t="n"/>
      <c r="G6" s="2" t="n"/>
      <c r="H6" s="2" t="n"/>
    </row>
    <row r="7">
      <c r="A7" s="2" t="inlineStr">
        <is>
          <t>SOM Year 1</t>
        </is>
      </c>
      <c r="B7" s="2" t="inlineStr">
        <is>
          <t>SOM Year 5 × ramp factor</t>
        </is>
      </c>
      <c r="C7" s="8">
        <f>C6*35%</f>
        <v/>
      </c>
      <c r="D7" s="2" t="inlineStr">
        <is>
          <t>Synthetic launch-year ramp assumption</t>
        </is>
      </c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Note</t>
        </is>
      </c>
      <c r="B9" s="2" t="inlineStr">
        <is>
          <t>TAM/SAM/SOM values are illustrative case outputs; replace addressability and share assumptions after customer/market diligence.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</sheetData>
  <mergeCells count="2">
    <mergeCell ref="B9:D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Illustrative Addressable Market Forecast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Year</t>
        </is>
      </c>
      <c r="B3" s="5" t="inlineStr">
        <is>
          <t>Market Index</t>
        </is>
      </c>
      <c r="C3" s="5" t="inlineStr">
        <is>
          <t>Market ₹cr</t>
        </is>
      </c>
      <c r="D3" s="5" t="inlineStr">
        <is>
          <t>Growth %</t>
        </is>
      </c>
      <c r="E3" s="2" t="n"/>
      <c r="F3" s="2" t="n"/>
      <c r="G3" s="2" t="n"/>
      <c r="H3" s="2" t="n"/>
    </row>
    <row r="4">
      <c r="A4" s="2" t="n">
        <v>2027</v>
      </c>
      <c r="B4" s="2" t="n">
        <v>1</v>
      </c>
      <c r="C4" s="8">
        <f>Market_Sizing!C5</f>
        <v/>
      </c>
      <c r="D4" s="2" t="inlineStr">
        <is>
          <t>—</t>
        </is>
      </c>
      <c r="E4" s="2" t="n"/>
      <c r="F4" s="2" t="n"/>
      <c r="G4" s="2" t="n"/>
      <c r="H4" s="2" t="n"/>
    </row>
    <row r="5">
      <c r="A5" s="2" t="n">
        <v>2028</v>
      </c>
      <c r="B5" s="2">
        <f>B4*(1+9%)</f>
        <v/>
      </c>
      <c r="C5" s="8">
        <f>C4*(1+9%)</f>
        <v/>
      </c>
      <c r="D5" s="2">
        <f>9%</f>
        <v/>
      </c>
      <c r="E5" s="2" t="n"/>
      <c r="F5" s="2" t="n"/>
      <c r="G5" s="2" t="n"/>
      <c r="H5" s="2" t="n"/>
    </row>
    <row r="6">
      <c r="A6" s="2" t="n">
        <v>2029</v>
      </c>
      <c r="B6" s="2">
        <f>B5*(1+9%)</f>
        <v/>
      </c>
      <c r="C6" s="8">
        <f>C5*(1+9%)</f>
        <v/>
      </c>
      <c r="D6" s="2">
        <f>9%</f>
        <v/>
      </c>
      <c r="E6" s="2" t="n"/>
      <c r="F6" s="2" t="n"/>
      <c r="G6" s="2" t="n"/>
      <c r="H6" s="2" t="n"/>
    </row>
    <row r="7">
      <c r="A7" s="2" t="n">
        <v>2030</v>
      </c>
      <c r="B7" s="2">
        <f>B6*(1+9%)</f>
        <v/>
      </c>
      <c r="C7" s="8">
        <f>C6*(1+9%)</f>
        <v/>
      </c>
      <c r="D7" s="2">
        <f>9%</f>
        <v/>
      </c>
      <c r="E7" s="2" t="n"/>
      <c r="F7" s="2" t="n"/>
      <c r="G7" s="2" t="n"/>
      <c r="H7" s="2" t="n"/>
    </row>
    <row r="8">
      <c r="A8" s="2" t="n">
        <v>2031</v>
      </c>
      <c r="B8" s="2">
        <f>B7*(1+9%)</f>
        <v/>
      </c>
      <c r="C8" s="8">
        <f>C7*(1+9%)</f>
        <v/>
      </c>
      <c r="D8" s="2">
        <f>9%</f>
        <v/>
      </c>
      <c r="E8" s="2" t="n"/>
      <c r="F8" s="2" t="n"/>
      <c r="G8" s="2" t="n"/>
      <c r="H8" s="2" t="n"/>
    </row>
    <row r="9">
      <c r="A9" s="2" t="n">
        <v>2032</v>
      </c>
      <c r="B9" s="2">
        <f>B8*(1+9%)</f>
        <v/>
      </c>
      <c r="C9" s="8">
        <f>C8*(1+9%)</f>
        <v/>
      </c>
      <c r="D9" s="2">
        <f>9%</f>
        <v/>
      </c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7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Demand Drivers &amp; Diligence Questions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Driver</t>
        </is>
      </c>
      <c r="B3" s="5" t="inlineStr">
        <is>
          <t>Expected direction</t>
        </is>
      </c>
      <c r="C3" s="5" t="inlineStr">
        <is>
          <t>Importance</t>
        </is>
      </c>
      <c r="D3" s="5" t="inlineStr">
        <is>
          <t>Evidence status</t>
        </is>
      </c>
      <c r="E3" s="5" t="inlineStr">
        <is>
          <t>What to validate</t>
        </is>
      </c>
      <c r="F3" s="2" t="n"/>
      <c r="G3" s="2" t="n"/>
      <c r="H3" s="2" t="n"/>
    </row>
    <row r="4">
      <c r="A4" s="2" t="inlineStr">
        <is>
          <t>Vehicle production</t>
        </is>
      </c>
      <c r="B4" s="2" t="inlineStr">
        <is>
          <t>Positive</t>
        </is>
      </c>
      <c r="C4" s="2" t="inlineStr">
        <is>
          <t>High</t>
        </is>
      </c>
      <c r="D4" s="2" t="inlineStr">
        <is>
          <t>Case hypothesis</t>
        </is>
      </c>
      <c r="E4" s="2" t="inlineStr">
        <is>
          <t>OEM production outlook by vehicle category</t>
        </is>
      </c>
      <c r="F4" s="2" t="n"/>
      <c r="G4" s="2" t="n"/>
      <c r="H4" s="2" t="n"/>
    </row>
    <row r="5">
      <c r="A5" s="2" t="inlineStr">
        <is>
          <t>EV penetration</t>
        </is>
      </c>
      <c r="B5" s="2" t="inlineStr">
        <is>
          <t>Mixed by segment</t>
        </is>
      </c>
      <c r="C5" s="2" t="inlineStr">
        <is>
          <t>High</t>
        </is>
      </c>
      <c r="D5" s="2" t="inlineStr">
        <is>
          <t>Case hypothesis</t>
        </is>
      </c>
      <c r="E5" s="2" t="inlineStr">
        <is>
          <t>Component-level exposure to EV transition</t>
        </is>
      </c>
      <c r="F5" s="2" t="n"/>
      <c r="G5" s="2" t="n"/>
      <c r="H5" s="2" t="n"/>
    </row>
    <row r="6">
      <c r="A6" s="2" t="inlineStr">
        <is>
          <t>Localization</t>
        </is>
      </c>
      <c r="B6" s="2" t="inlineStr">
        <is>
          <t>Positive</t>
        </is>
      </c>
      <c r="C6" s="2" t="inlineStr">
        <is>
          <t>High</t>
        </is>
      </c>
      <c r="D6" s="2" t="inlineStr">
        <is>
          <t>Case hypothesis</t>
        </is>
      </c>
      <c r="E6" s="2" t="inlineStr">
        <is>
          <t>Localization targets and import substitution</t>
        </is>
      </c>
      <c r="F6" s="2" t="n"/>
      <c r="G6" s="2" t="n"/>
      <c r="H6" s="2" t="n"/>
    </row>
    <row r="7">
      <c r="A7" s="2" t="inlineStr">
        <is>
          <t>Exports</t>
        </is>
      </c>
      <c r="B7" s="2" t="inlineStr">
        <is>
          <t>Positive</t>
        </is>
      </c>
      <c r="C7" s="2" t="inlineStr">
        <is>
          <t>Medium</t>
        </is>
      </c>
      <c r="D7" s="2" t="inlineStr">
        <is>
          <t>Case hypothesis</t>
        </is>
      </c>
      <c r="E7" s="2" t="inlineStr">
        <is>
          <t>Export customer requirements and homologation</t>
        </is>
      </c>
      <c r="F7" s="2" t="n"/>
      <c r="G7" s="2" t="n"/>
      <c r="H7" s="2" t="n"/>
    </row>
    <row r="8">
      <c r="A8" s="2" t="inlineStr">
        <is>
          <t>Raw material costs</t>
        </is>
      </c>
      <c r="B8" s="2" t="inlineStr">
        <is>
          <t>Negative volatility</t>
        </is>
      </c>
      <c r="C8" s="2" t="inlineStr">
        <is>
          <t>High</t>
        </is>
      </c>
      <c r="D8" s="2" t="inlineStr">
        <is>
          <t>Case hypothesis</t>
        </is>
      </c>
      <c r="E8" s="2" t="inlineStr">
        <is>
          <t>Steel/aluminium/resin/electronics input exposure</t>
        </is>
      </c>
      <c r="F8" s="2" t="n"/>
      <c r="G8" s="2" t="n"/>
      <c r="H8" s="2" t="n"/>
    </row>
    <row r="9">
      <c r="A9" s="2" t="inlineStr">
        <is>
          <t>OEM qualification cycles</t>
        </is>
      </c>
      <c r="B9" s="2" t="inlineStr">
        <is>
          <t>Negative timing</t>
        </is>
      </c>
      <c r="C9" s="2" t="inlineStr">
        <is>
          <t>High</t>
        </is>
      </c>
      <c r="D9" s="2" t="inlineStr">
        <is>
          <t>Case hypothesis</t>
        </is>
      </c>
      <c r="E9" s="2" t="inlineStr">
        <is>
          <t>Supplier nomination and PPAP timing</t>
        </is>
      </c>
      <c r="F9" s="2" t="n"/>
      <c r="G9" s="2" t="n"/>
      <c r="H9" s="2" t="n"/>
    </row>
    <row r="10">
      <c r="A10" s="2" t="inlineStr">
        <is>
          <t>Technology requirements</t>
        </is>
      </c>
      <c r="B10" s="2" t="inlineStr">
        <is>
          <t>Mixed</t>
        </is>
      </c>
      <c r="C10" s="2" t="inlineStr">
        <is>
          <t>High</t>
        </is>
      </c>
      <c r="D10" s="2" t="inlineStr">
        <is>
          <t>Case hypothesis</t>
        </is>
      </c>
      <c r="E10" s="2" t="inlineStr">
        <is>
          <t>Required IP, tooling and process capability</t>
        </is>
      </c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34" customWidth="1" min="4" max="4"/>
    <col width="17" customWidth="1" min="5" max="5"/>
    <col width="34" customWidth="1" min="6" max="6"/>
    <col width="18" customWidth="1" min="7" max="7"/>
    <col width="12" customWidth="1" min="8" max="8"/>
  </cols>
  <sheetData>
    <row r="1" ht="28" customHeight="1">
      <c r="A1" s="1" t="inlineStr">
        <is>
          <t>Source Register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ID</t>
        </is>
      </c>
      <c r="B3" s="5" t="inlineStr">
        <is>
          <t>Source / Institution</t>
        </is>
      </c>
      <c r="C3" s="5" t="inlineStr">
        <is>
          <t>Topic</t>
        </is>
      </c>
      <c r="D3" s="5" t="inlineStr">
        <is>
          <t>URL / Reference</t>
        </is>
      </c>
      <c r="E3" s="5" t="inlineStr">
        <is>
          <t>Access / Period</t>
        </is>
      </c>
      <c r="F3" s="5" t="inlineStr">
        <is>
          <t>Use in model</t>
        </is>
      </c>
      <c r="G3" s="5" t="inlineStr">
        <is>
          <t>Status</t>
        </is>
      </c>
      <c r="H3" s="2" t="n"/>
    </row>
    <row r="4">
      <c r="A4" s="2" t="inlineStr">
        <is>
          <t>S01</t>
        </is>
      </c>
      <c r="B4" s="2" t="inlineStr">
        <is>
          <t>Society of Indian Automobile Manufacturers (SIAM)</t>
        </is>
      </c>
      <c r="C4" s="2" t="inlineStr">
        <is>
          <t>Automotive industry statistics</t>
        </is>
      </c>
      <c r="D4" s="2" t="inlineStr">
        <is>
          <t>https://www.siam.in/</t>
        </is>
      </c>
      <c r="E4" s="2" t="inlineStr">
        <is>
          <t>To be refreshed</t>
        </is>
      </c>
      <c r="F4" s="2" t="inlineStr">
        <is>
          <t>Vehicle production / industry context</t>
        </is>
      </c>
      <c r="G4" s="2" t="inlineStr">
        <is>
          <t>Reference source</t>
        </is>
      </c>
      <c r="H4" s="2" t="n"/>
    </row>
    <row r="5">
      <c r="A5" s="2" t="inlineStr">
        <is>
          <t>S02</t>
        </is>
      </c>
      <c r="B5" s="2" t="inlineStr">
        <is>
          <t>Ministry of Heavy Industries</t>
        </is>
      </c>
      <c r="C5" s="2" t="inlineStr">
        <is>
          <t>Auto / component policy context</t>
        </is>
      </c>
      <c r="D5" s="2" t="inlineStr">
        <is>
          <t>https://heavyindustries.gov.in/</t>
        </is>
      </c>
      <c r="E5" s="2" t="inlineStr">
        <is>
          <t>To be refreshed</t>
        </is>
      </c>
      <c r="F5" s="2" t="inlineStr">
        <is>
          <t>Policy and localization context</t>
        </is>
      </c>
      <c r="G5" s="2" t="inlineStr">
        <is>
          <t>Reference source</t>
        </is>
      </c>
      <c r="H5" s="2" t="n"/>
    </row>
    <row r="6">
      <c r="A6" s="2" t="inlineStr">
        <is>
          <t>S03</t>
        </is>
      </c>
      <c r="B6" s="2" t="inlineStr">
        <is>
          <t>Invest India</t>
        </is>
      </c>
      <c r="C6" s="2" t="inlineStr">
        <is>
          <t>Automotive sector overview</t>
        </is>
      </c>
      <c r="D6" s="2" t="inlineStr">
        <is>
          <t>https://www.investindia.gov.in/sector/automobile</t>
        </is>
      </c>
      <c r="E6" s="2" t="inlineStr">
        <is>
          <t>To be refreshed</t>
        </is>
      </c>
      <c r="F6" s="2" t="inlineStr">
        <is>
          <t>Sector context and investment signals</t>
        </is>
      </c>
      <c r="G6" s="2" t="inlineStr">
        <is>
          <t>Reference source</t>
        </is>
      </c>
      <c r="H6" s="2" t="n"/>
    </row>
    <row r="7">
      <c r="A7" s="2" t="inlineStr">
        <is>
          <t>S04</t>
        </is>
      </c>
      <c r="B7" s="2" t="inlineStr">
        <is>
          <t>ACMA</t>
        </is>
      </c>
      <c r="C7" s="2" t="inlineStr">
        <is>
          <t>Auto-component industry context</t>
        </is>
      </c>
      <c r="D7" s="2" t="inlineStr">
        <is>
          <t>https://www.acma.in/</t>
        </is>
      </c>
      <c r="E7" s="2" t="inlineStr">
        <is>
          <t>To be refreshed</t>
        </is>
      </c>
      <c r="F7" s="2" t="inlineStr">
        <is>
          <t>Component market / industry context</t>
        </is>
      </c>
      <c r="G7" s="2" t="inlineStr">
        <is>
          <t>Reference source</t>
        </is>
      </c>
      <c r="H7" s="2" t="n"/>
    </row>
    <row r="8">
      <c r="A8" s="6" t="inlineStr">
        <is>
          <t>S05</t>
        </is>
      </c>
      <c r="B8" s="6" t="inlineStr">
        <is>
          <t>Case assumptions</t>
        </is>
      </c>
      <c r="C8" s="6" t="inlineStr">
        <is>
          <t>Synthetic market sizing</t>
        </is>
      </c>
      <c r="D8" s="6" t="inlineStr">
        <is>
          <t>Internal case workbook</t>
        </is>
      </c>
      <c r="E8" s="6" t="inlineStr">
        <is>
          <t>2026 case</t>
        </is>
      </c>
      <c r="F8" s="6" t="inlineStr">
        <is>
          <t>Illustrative calculations</t>
        </is>
      </c>
      <c r="G8" s="6" t="inlineStr">
        <is>
          <t>Synthetic</t>
        </is>
      </c>
      <c r="H8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Check</t>
        </is>
      </c>
      <c r="B3" s="5" t="inlineStr">
        <is>
          <t>Formula / test</t>
        </is>
      </c>
      <c r="C3" s="5" t="inlineStr">
        <is>
          <t>Status</t>
        </is>
      </c>
      <c r="D3" s="2" t="n"/>
      <c r="E3" s="2" t="n"/>
      <c r="F3" s="2" t="n"/>
      <c r="G3" s="2" t="n"/>
      <c r="H3" s="2" t="n"/>
    </row>
    <row r="4">
      <c r="A4" s="2" t="inlineStr">
        <is>
          <t>Segment market total</t>
        </is>
      </c>
      <c r="B4" s="2">
        <f>IF(ABS(Segment_Market!B10-SUM(Segment_Market!B4:B9))&lt;0.01,"PASS","CHECK")</f>
        <v/>
      </c>
      <c r="C4" s="2" t="inlineStr"/>
      <c r="D4" s="2" t="n"/>
      <c r="E4" s="2" t="n"/>
      <c r="F4" s="2" t="n"/>
      <c r="G4" s="2" t="n"/>
      <c r="H4" s="2" t="n"/>
    </row>
    <row r="5">
      <c r="A5" s="2" t="inlineStr">
        <is>
          <t>Segment share total</t>
        </is>
      </c>
      <c r="B5" s="2">
        <f>IF(ABS(Segment_Market!E10-100)&lt;0.01,"PASS","CHECK")</f>
        <v/>
      </c>
      <c r="C5" s="2" t="inlineStr"/>
      <c r="D5" s="2" t="n"/>
      <c r="E5" s="2" t="n"/>
      <c r="F5" s="2" t="n"/>
      <c r="G5" s="2" t="n"/>
      <c r="H5" s="2" t="n"/>
    </row>
    <row r="6">
      <c r="A6" s="2" t="inlineStr">
        <is>
          <t>Forecast starts from SAM</t>
        </is>
      </c>
      <c r="B6" s="2">
        <f>IF(Market_Forecast!C4=Market_Sizing!C5,"PASS","CHECK")</f>
        <v/>
      </c>
      <c r="C6" s="2" t="inlineStr"/>
      <c r="D6" s="2" t="n"/>
      <c r="E6" s="2" t="n"/>
      <c r="F6" s="2" t="n"/>
      <c r="G6" s="2" t="n"/>
      <c r="H6" s="2" t="n"/>
    </row>
    <row r="7">
      <c r="A7" s="2" t="inlineStr">
        <is>
          <t>Source register present</t>
        </is>
      </c>
      <c r="B7" s="2">
        <f>IF(COUNTA(Source_Register!A4:A8)&gt;0,"PASS","CHECK")</f>
        <v/>
      </c>
      <c r="C7" s="2" t="inlineStr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2026-09-23T16:41:00Z</dcterms:created>
  <dcterms:modified xmlns:dcterms="http://purl.org/dc/terms/" xmlns:xsi="http://www.w3.org/2001/XMLSchema-instance" xsi:type="dcterms:W3CDTF">2026-09-23T16:41:00Z</dcterms:modified>
</cp:coreProperties>
</file>