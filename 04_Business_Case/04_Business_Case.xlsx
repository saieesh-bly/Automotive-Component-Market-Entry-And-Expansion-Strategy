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emand" sheetId="3" state="visible" r:id="rId3"/>
    <sheet xmlns:r="http://schemas.openxmlformats.org/officeDocument/2006/relationships" name="Capacity" sheetId="4" state="visible" r:id="rId4"/>
    <sheet xmlns:r="http://schemas.openxmlformats.org/officeDocument/2006/relationships" name="P_and_L" sheetId="5" state="visible" r:id="rId5"/>
    <sheet xmlns:r="http://schemas.openxmlformats.org/officeDocument/2006/relationships" name="Cash_Flow" sheetId="6" state="visible" r:id="rId6"/>
    <sheet xmlns:r="http://schemas.openxmlformats.org/officeDocument/2006/relationships" name="Returns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Validati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0x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366092"/>
      </patternFill>
    </fill>
    <fill>
      <patternFill patternType="solid">
        <fgColor rgb="00FCE5CD"/>
      </patternFill>
    </fill>
    <fill>
      <patternFill patternType="solid">
        <fgColor rgb="00EBF1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2" fontId="3" fillId="3" borderId="0" applyAlignment="1" pivotButton="0" quotePrefix="0" xfId="0">
      <alignment vertical="top" wrapText="1"/>
    </xf>
    <xf numFmtId="9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04 | Automotive Component Business Case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Purpose</t>
        </is>
      </c>
      <c r="B3" s="2" t="inlineStr">
        <is>
          <t>Translate the selected strategy into an illustrative capacity and investment case.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Base strategy</t>
        </is>
      </c>
      <c r="B4" s="2" t="inlineStr">
        <is>
          <t>Focused automotive-component manufacturing platform with phased capacity build.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3" t="inlineStr">
        <is>
          <t>Currency</t>
        </is>
      </c>
      <c r="B5" s="2" t="inlineStr">
        <is>
          <t>₹ crore unless otherwise stated.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3" t="inlineStr">
        <is>
          <t>Planning horizon</t>
        </is>
      </c>
      <c r="B6" s="2" t="inlineStr">
        <is>
          <t>2027–2036.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3" t="inlineStr">
        <is>
          <t>Core flow</t>
        </is>
      </c>
      <c r="B7" s="2" t="inlineStr">
        <is>
          <t>Addressable demand → capacity → utilization → revenue → EBITDA → CAPEX → free cash flow → returns.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Important</t>
        </is>
      </c>
      <c r="B8" s="2" t="inlineStr">
        <is>
          <t>All company-specific operating assumptions are synthetic case assumptions.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6" customWidth="1" min="3" max="3"/>
    <col width="12" customWidth="1" min="4" max="4"/>
    <col width="3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Business Case Assumptions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Assumption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Type</t>
        </is>
      </c>
      <c r="E3" s="4" t="inlineStr">
        <is>
          <t>Rationale / note</t>
        </is>
      </c>
      <c r="F3" s="2" t="n"/>
      <c r="G3" s="2" t="n"/>
      <c r="H3" s="2" t="n"/>
      <c r="I3" s="2" t="n"/>
      <c r="J3" s="2" t="n"/>
    </row>
    <row r="4">
      <c r="A4" s="5" t="inlineStr">
        <is>
          <t>Addressable market in 2027</t>
        </is>
      </c>
      <c r="B4" s="5" t="n">
        <v>35000</v>
      </c>
      <c r="C4" s="5" t="inlineStr">
        <is>
          <t>₹ crore</t>
        </is>
      </c>
      <c r="D4" s="5" t="inlineStr">
        <is>
          <t>Synthetic</t>
        </is>
      </c>
      <c r="E4" s="5" t="inlineStr">
        <is>
          <t>Illustrative SAM for selected component opportunity</t>
        </is>
      </c>
      <c r="F4" s="2" t="n"/>
      <c r="G4" s="2" t="n"/>
      <c r="H4" s="2" t="n"/>
      <c r="I4" s="2" t="n"/>
      <c r="J4" s="2" t="n"/>
    </row>
    <row r="5">
      <c r="A5" s="5" t="inlineStr">
        <is>
          <t>Market growth</t>
        </is>
      </c>
      <c r="B5" s="5" t="n">
        <v>9</v>
      </c>
      <c r="C5" s="5" t="inlineStr">
        <is>
          <t>% CAGR</t>
        </is>
      </c>
      <c r="D5" s="5" t="inlineStr">
        <is>
          <t>Synthetic</t>
        </is>
      </c>
      <c r="E5" s="5" t="inlineStr">
        <is>
          <t>Linked to market research case assumption</t>
        </is>
      </c>
      <c r="F5" s="2" t="n"/>
      <c r="G5" s="2" t="n"/>
      <c r="H5" s="2" t="n"/>
      <c r="I5" s="2" t="n"/>
      <c r="J5" s="2" t="n"/>
    </row>
    <row r="6">
      <c r="A6" s="5" t="inlineStr">
        <is>
          <t>Target attainable share in 2031</t>
        </is>
      </c>
      <c r="B6" s="5" t="n">
        <v>8</v>
      </c>
      <c r="C6" s="5" t="inlineStr">
        <is>
          <t>% of SAM</t>
        </is>
      </c>
      <c r="D6" s="5" t="inlineStr">
        <is>
          <t>Synthetic</t>
        </is>
      </c>
      <c r="E6" s="5" t="inlineStr">
        <is>
          <t>Long-run share assumption</t>
        </is>
      </c>
      <c r="F6" s="2" t="n"/>
      <c r="G6" s="2" t="n"/>
      <c r="H6" s="2" t="n"/>
      <c r="I6" s="2" t="n"/>
      <c r="J6" s="2" t="n"/>
    </row>
    <row r="7">
      <c r="A7" s="5" t="inlineStr">
        <is>
          <t>Initial capacity utilization</t>
        </is>
      </c>
      <c r="B7" s="5" t="n">
        <v>35</v>
      </c>
      <c r="C7" s="5" t="inlineStr">
        <is>
          <t>%</t>
        </is>
      </c>
      <c r="D7" s="5" t="inlineStr">
        <is>
          <t>Synthetic</t>
        </is>
      </c>
      <c r="E7" s="5" t="inlineStr">
        <is>
          <t>Ramp-up assumption</t>
        </is>
      </c>
      <c r="F7" s="2" t="n"/>
      <c r="G7" s="2" t="n"/>
      <c r="H7" s="2" t="n"/>
      <c r="I7" s="2" t="n"/>
      <c r="J7" s="2" t="n"/>
    </row>
    <row r="8">
      <c r="A8" s="5" t="inlineStr">
        <is>
          <t>Mature capacity utilization</t>
        </is>
      </c>
      <c r="B8" s="5" t="n">
        <v>80</v>
      </c>
      <c r="C8" s="5" t="inlineStr">
        <is>
          <t>%</t>
        </is>
      </c>
      <c r="D8" s="5" t="inlineStr">
        <is>
          <t>Synthetic</t>
        </is>
      </c>
      <c r="E8" s="5" t="inlineStr">
        <is>
          <t>Steady-state assumption</t>
        </is>
      </c>
      <c r="F8" s="2" t="n"/>
      <c r="G8" s="2" t="n"/>
      <c r="H8" s="2" t="n"/>
      <c r="I8" s="2" t="n"/>
      <c r="J8" s="2" t="n"/>
    </row>
    <row r="9">
      <c r="A9" s="5" t="inlineStr">
        <is>
          <t>Average selling price</t>
        </is>
      </c>
      <c r="B9" s="5" t="n">
        <v>1.2</v>
      </c>
      <c r="C9" s="5" t="inlineStr">
        <is>
          <t>₹ lakh / unit</t>
        </is>
      </c>
      <c r="D9" s="5" t="inlineStr">
        <is>
          <t>Synthetic</t>
        </is>
      </c>
      <c r="E9" s="5" t="inlineStr">
        <is>
          <t>Illustrative blended component ASP</t>
        </is>
      </c>
      <c r="F9" s="2" t="n"/>
      <c r="G9" s="2" t="n"/>
      <c r="H9" s="2" t="n"/>
      <c r="I9" s="2" t="n"/>
      <c r="J9" s="2" t="n"/>
    </row>
    <row r="10">
      <c r="A10" s="5" t="inlineStr">
        <is>
          <t>Variable cost</t>
        </is>
      </c>
      <c r="B10" s="5" t="n">
        <v>0.78</v>
      </c>
      <c r="C10" s="5" t="inlineStr">
        <is>
          <t>₹ lakh / unit</t>
        </is>
      </c>
      <c r="D10" s="5" t="inlineStr">
        <is>
          <t>Synthetic</t>
        </is>
      </c>
      <c r="E10" s="5" t="inlineStr">
        <is>
          <t>Materials + direct variable conversion</t>
        </is>
      </c>
      <c r="F10" s="2" t="n"/>
      <c r="G10" s="2" t="n"/>
      <c r="H10" s="2" t="n"/>
      <c r="I10" s="2" t="n"/>
      <c r="J10" s="2" t="n"/>
    </row>
    <row r="11">
      <c r="A11" s="5" t="inlineStr">
        <is>
          <t>Fixed operating cost</t>
        </is>
      </c>
      <c r="B11" s="5" t="n">
        <v>45</v>
      </c>
      <c r="C11" s="5" t="inlineStr">
        <is>
          <t>₹ crore / year</t>
        </is>
      </c>
      <c r="D11" s="5" t="inlineStr">
        <is>
          <t>Synthetic</t>
        </is>
      </c>
      <c r="E11" s="5" t="inlineStr">
        <is>
          <t>Plant + staff + quality + overhead</t>
        </is>
      </c>
      <c r="F11" s="2" t="n"/>
      <c r="G11" s="2" t="n"/>
      <c r="H11" s="2" t="n"/>
      <c r="I11" s="2" t="n"/>
      <c r="J11" s="2" t="n"/>
    </row>
    <row r="12">
      <c r="A12" s="5" t="inlineStr">
        <is>
          <t>Initial CAPEX</t>
        </is>
      </c>
      <c r="B12" s="5" t="n">
        <v>220</v>
      </c>
      <c r="C12" s="5" t="inlineStr">
        <is>
          <t>₹ crore</t>
        </is>
      </c>
      <c r="D12" s="5" t="inlineStr">
        <is>
          <t>Synthetic</t>
        </is>
      </c>
      <c r="E12" s="5" t="inlineStr">
        <is>
          <t>Land/building/equipment/tooling</t>
        </is>
      </c>
      <c r="F12" s="2" t="n"/>
      <c r="G12" s="2" t="n"/>
      <c r="H12" s="2" t="n"/>
      <c r="I12" s="2" t="n"/>
      <c r="J12" s="2" t="n"/>
    </row>
    <row r="13">
      <c r="A13" s="5" t="inlineStr">
        <is>
          <t>Expansion CAPEX</t>
        </is>
      </c>
      <c r="B13" s="5" t="n">
        <v>140</v>
      </c>
      <c r="C13" s="5" t="inlineStr">
        <is>
          <t>₹ crore</t>
        </is>
      </c>
      <c r="D13" s="5" t="inlineStr">
        <is>
          <t>Synthetic</t>
        </is>
      </c>
      <c r="E13" s="5" t="inlineStr">
        <is>
          <t>Second-stage capacity investment</t>
        </is>
      </c>
      <c r="F13" s="2" t="n"/>
      <c r="G13" s="2" t="n"/>
      <c r="H13" s="2" t="n"/>
      <c r="I13" s="2" t="n"/>
      <c r="J13" s="2" t="n"/>
    </row>
    <row r="14">
      <c r="A14" s="5" t="inlineStr">
        <is>
          <t>Maintenance CAPEX</t>
        </is>
      </c>
      <c r="B14" s="5" t="n">
        <v>15</v>
      </c>
      <c r="C14" s="5" t="inlineStr">
        <is>
          <t>₹ crore / year</t>
        </is>
      </c>
      <c r="D14" s="5" t="inlineStr">
        <is>
          <t>Synthetic</t>
        </is>
      </c>
      <c r="E14" s="5" t="inlineStr">
        <is>
          <t>Sustaining investment</t>
        </is>
      </c>
      <c r="F14" s="2" t="n"/>
      <c r="G14" s="2" t="n"/>
      <c r="H14" s="2" t="n"/>
      <c r="I14" s="2" t="n"/>
      <c r="J14" s="2" t="n"/>
    </row>
    <row r="15">
      <c r="A15" s="5" t="inlineStr">
        <is>
          <t>Tax rate</t>
        </is>
      </c>
      <c r="B15" s="5" t="n">
        <v>25</v>
      </c>
      <c r="C15" s="5" t="inlineStr">
        <is>
          <t>%</t>
        </is>
      </c>
      <c r="D15" s="5" t="inlineStr">
        <is>
          <t>Synthetic</t>
        </is>
      </c>
      <c r="E15" s="5" t="inlineStr">
        <is>
          <t>Simplified case assumption</t>
        </is>
      </c>
      <c r="F15" s="2" t="n"/>
      <c r="G15" s="2" t="n"/>
      <c r="H15" s="2" t="n"/>
      <c r="I15" s="2" t="n"/>
      <c r="J15" s="2" t="n"/>
    </row>
    <row r="16">
      <c r="A16" s="5" t="inlineStr">
        <is>
          <t>Discount rate</t>
        </is>
      </c>
      <c r="B16" s="5" t="n">
        <v>12</v>
      </c>
      <c r="C16" s="5" t="inlineStr">
        <is>
          <t>%</t>
        </is>
      </c>
      <c r="D16" s="5" t="inlineStr">
        <is>
          <t>Synthetic</t>
        </is>
      </c>
      <c r="E16" s="5" t="inlineStr">
        <is>
          <t>Illustrative investment hurdle</t>
        </is>
      </c>
      <c r="F16" s="2" t="n"/>
      <c r="G16" s="2" t="n"/>
      <c r="H16" s="2" t="n"/>
      <c r="I16" s="2" t="n"/>
      <c r="J16" s="2" t="n"/>
    </row>
    <row r="17">
      <c r="A17" s="5" t="inlineStr">
        <is>
          <t>Terminal growth</t>
        </is>
      </c>
      <c r="B17" s="5" t="n">
        <v>3</v>
      </c>
      <c r="C17" s="5" t="inlineStr">
        <is>
          <t>%</t>
        </is>
      </c>
      <c r="D17" s="5" t="inlineStr">
        <is>
          <t>Synthetic</t>
        </is>
      </c>
      <c r="E17" s="5" t="inlineStr">
        <is>
          <t>Used only for terminal value scenario</t>
        </is>
      </c>
      <c r="F17" s="2" t="n"/>
      <c r="G17" s="2" t="n"/>
      <c r="H17" s="2" t="n"/>
      <c r="I17" s="2" t="n"/>
      <c r="J17" s="2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Addressable Demand &amp; Revenue Build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Year</t>
        </is>
      </c>
      <c r="B3" s="4" t="inlineStr">
        <is>
          <t>Market ₹cr</t>
        </is>
      </c>
      <c r="C3" s="4" t="inlineStr">
        <is>
          <t>Target Share %</t>
        </is>
      </c>
      <c r="D3" s="4" t="inlineStr">
        <is>
          <t>Addressable Revenue Pool ₹cr</t>
        </is>
      </c>
      <c r="E3" s="4" t="inlineStr">
        <is>
          <t>Implied Units mn</t>
        </is>
      </c>
      <c r="F3" s="2" t="n"/>
      <c r="G3" s="2" t="n"/>
      <c r="H3" s="2" t="n"/>
      <c r="I3" s="2" t="n"/>
      <c r="J3" s="2" t="n"/>
    </row>
    <row r="4">
      <c r="A4" s="2" t="n">
        <v>2027</v>
      </c>
      <c r="B4" s="6">
        <f>Assumptions!B4</f>
        <v/>
      </c>
      <c r="C4" s="7">
        <f>MIN(Assumptions!B6,(2%+(ROW()-4)*1%))</f>
        <v/>
      </c>
      <c r="D4" s="6">
        <f>B4*C4</f>
        <v/>
      </c>
      <c r="E4" s="8">
        <f>D4/(Assumptions!B9/100)</f>
        <v/>
      </c>
      <c r="F4" s="2" t="n"/>
      <c r="G4" s="2" t="n"/>
      <c r="H4" s="2" t="n"/>
      <c r="I4" s="2" t="n"/>
      <c r="J4" s="2" t="n"/>
    </row>
    <row r="5">
      <c r="A5" s="2" t="n">
        <v>2028</v>
      </c>
      <c r="B5" s="6">
        <f>B4*(1+Assumptions!B5/100)</f>
        <v/>
      </c>
      <c r="C5" s="7">
        <f>MIN(Assumptions!B6,(2%+(ROW()-4)*1%))</f>
        <v/>
      </c>
      <c r="D5" s="6">
        <f>B5*C5</f>
        <v/>
      </c>
      <c r="E5" s="8">
        <f>D5/(Assumptions!B9/100)</f>
        <v/>
      </c>
      <c r="F5" s="2" t="n"/>
      <c r="G5" s="2" t="n"/>
      <c r="H5" s="2" t="n"/>
      <c r="I5" s="2" t="n"/>
      <c r="J5" s="2" t="n"/>
    </row>
    <row r="6">
      <c r="A6" s="2" t="n">
        <v>2029</v>
      </c>
      <c r="B6" s="6">
        <f>B5*(1+Assumptions!B5/100)</f>
        <v/>
      </c>
      <c r="C6" s="7">
        <f>MIN(Assumptions!B6,(2%+(ROW()-4)*1%))</f>
        <v/>
      </c>
      <c r="D6" s="6">
        <f>B6*C6</f>
        <v/>
      </c>
      <c r="E6" s="8">
        <f>D6/(Assumptions!B9/100)</f>
        <v/>
      </c>
      <c r="F6" s="2" t="n"/>
      <c r="G6" s="2" t="n"/>
      <c r="H6" s="2" t="n"/>
      <c r="I6" s="2" t="n"/>
      <c r="J6" s="2" t="n"/>
    </row>
    <row r="7">
      <c r="A7" s="2" t="n">
        <v>2030</v>
      </c>
      <c r="B7" s="6">
        <f>B6*(1+Assumptions!B5/100)</f>
        <v/>
      </c>
      <c r="C7" s="7">
        <f>MIN(Assumptions!B6,(2%+(ROW()-4)*1%))</f>
        <v/>
      </c>
      <c r="D7" s="6">
        <f>B7*C7</f>
        <v/>
      </c>
      <c r="E7" s="8">
        <f>D7/(Assumptions!B9/100)</f>
        <v/>
      </c>
      <c r="F7" s="2" t="n"/>
      <c r="G7" s="2" t="n"/>
      <c r="H7" s="2" t="n"/>
      <c r="I7" s="2" t="n"/>
      <c r="J7" s="2" t="n"/>
    </row>
    <row r="8">
      <c r="A8" s="2" t="n">
        <v>2031</v>
      </c>
      <c r="B8" s="6">
        <f>B7*(1+Assumptions!B5/100)</f>
        <v/>
      </c>
      <c r="C8" s="7">
        <f>MIN(Assumptions!B6,(2%+(ROW()-4)*1%))</f>
        <v/>
      </c>
      <c r="D8" s="6">
        <f>B8*C8</f>
        <v/>
      </c>
      <c r="E8" s="8">
        <f>D8/(Assumptions!B9/100)</f>
        <v/>
      </c>
      <c r="F8" s="2" t="n"/>
      <c r="G8" s="2" t="n"/>
      <c r="H8" s="2" t="n"/>
      <c r="I8" s="2" t="n"/>
      <c r="J8" s="2" t="n"/>
    </row>
    <row r="9">
      <c r="A9" s="2" t="n">
        <v>2032</v>
      </c>
      <c r="B9" s="6">
        <f>B8*(1+Assumptions!B5/100)</f>
        <v/>
      </c>
      <c r="C9" s="7">
        <f>MIN(Assumptions!B6,(2%+(ROW()-4)*1%))</f>
        <v/>
      </c>
      <c r="D9" s="6">
        <f>B9*C9</f>
        <v/>
      </c>
      <c r="E9" s="8">
        <f>D9/(Assumptions!B9/100)</f>
        <v/>
      </c>
      <c r="F9" s="2" t="n"/>
      <c r="G9" s="2" t="n"/>
      <c r="H9" s="2" t="n"/>
      <c r="I9" s="2" t="n"/>
      <c r="J9" s="2" t="n"/>
    </row>
    <row r="10">
      <c r="A10" s="2" t="n">
        <v>2033</v>
      </c>
      <c r="B10" s="6">
        <f>B9*(1+Assumptions!B5/100)</f>
        <v/>
      </c>
      <c r="C10" s="7">
        <f>MIN(Assumptions!B6,(2%+(ROW()-4)*1%))</f>
        <v/>
      </c>
      <c r="D10" s="6">
        <f>B10*C10</f>
        <v/>
      </c>
      <c r="E10" s="8">
        <f>D10/(Assumptions!B9/100)</f>
        <v/>
      </c>
      <c r="F10" s="2" t="n"/>
      <c r="G10" s="2" t="n"/>
      <c r="H10" s="2" t="n"/>
      <c r="I10" s="2" t="n"/>
      <c r="J10" s="2" t="n"/>
    </row>
    <row r="11">
      <c r="A11" s="2" t="n">
        <v>2034</v>
      </c>
      <c r="B11" s="6">
        <f>B10*(1+Assumptions!B5/100)</f>
        <v/>
      </c>
      <c r="C11" s="7">
        <f>MIN(Assumptions!B6,(2%+(ROW()-4)*1%))</f>
        <v/>
      </c>
      <c r="D11" s="6">
        <f>B11*C11</f>
        <v/>
      </c>
      <c r="E11" s="8">
        <f>D11/(Assumptions!B9/100)</f>
        <v/>
      </c>
      <c r="F11" s="2" t="n"/>
      <c r="G11" s="2" t="n"/>
      <c r="H11" s="2" t="n"/>
      <c r="I11" s="2" t="n"/>
      <c r="J11" s="2" t="n"/>
    </row>
    <row r="12">
      <c r="A12" s="2" t="n">
        <v>2035</v>
      </c>
      <c r="B12" s="6">
        <f>B11*(1+Assumptions!B5/100)</f>
        <v/>
      </c>
      <c r="C12" s="7">
        <f>MIN(Assumptions!B6,(2%+(ROW()-4)*1%))</f>
        <v/>
      </c>
      <c r="D12" s="6">
        <f>B12*C12</f>
        <v/>
      </c>
      <c r="E12" s="8">
        <f>D12/(Assumptions!B9/100)</f>
        <v/>
      </c>
      <c r="F12" s="2" t="n"/>
      <c r="G12" s="2" t="n"/>
      <c r="H12" s="2" t="n"/>
      <c r="I12" s="2" t="n"/>
      <c r="J12" s="2" t="n"/>
    </row>
    <row r="13">
      <c r="A13" s="2" t="n">
        <v>2036</v>
      </c>
      <c r="B13" s="6">
        <f>B12*(1+Assumptions!B5/100)</f>
        <v/>
      </c>
      <c r="C13" s="7">
        <f>MIN(Assumptions!B6,(2%+(ROW()-4)*1%))</f>
        <v/>
      </c>
      <c r="D13" s="6">
        <f>B13*C13</f>
        <v/>
      </c>
      <c r="E13" s="8">
        <f>D13/(Assumptions!B9/100)</f>
        <v/>
      </c>
      <c r="F13" s="2" t="n"/>
      <c r="G13" s="2" t="n"/>
      <c r="H13" s="2" t="n"/>
      <c r="I13" s="2" t="n"/>
      <c r="J13" s="2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30" customWidth="1" min="3" max="3"/>
    <col width="21" customWidth="1" min="4" max="4"/>
    <col width="21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Capacity &amp; Utilization Plan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Year</t>
        </is>
      </c>
      <c r="B3" s="4" t="inlineStr">
        <is>
          <t>Installed Capacity mn units</t>
        </is>
      </c>
      <c r="C3" s="4" t="inlineStr">
        <is>
          <t>Utilization %</t>
        </is>
      </c>
      <c r="D3" s="4" t="inlineStr">
        <is>
          <t>Production mn units</t>
        </is>
      </c>
      <c r="E3" s="4" t="inlineStr">
        <is>
          <t>Revenue ₹cr</t>
        </is>
      </c>
      <c r="F3" s="4" t="inlineStr">
        <is>
          <t>Expansion CAPEX ₹cr</t>
        </is>
      </c>
      <c r="G3" s="2" t="n"/>
      <c r="H3" s="2" t="n"/>
      <c r="I3" s="2" t="n"/>
      <c r="J3" s="2" t="n"/>
    </row>
    <row r="4">
      <c r="A4" s="2" t="n">
        <v>2027</v>
      </c>
      <c r="B4" s="2">
        <f>0.25</f>
        <v/>
      </c>
      <c r="C4" s="7">
        <f>MIN(Assumptions!B8,35%+(ROW()-4)*5%)</f>
        <v/>
      </c>
      <c r="D4" s="6">
        <f>B4*C4</f>
        <v/>
      </c>
      <c r="E4" s="6">
        <f>D4*Assumptions!B9</f>
        <v/>
      </c>
      <c r="F4" s="6">
        <f>0</f>
        <v/>
      </c>
      <c r="G4" s="2" t="n"/>
      <c r="H4" s="2" t="n"/>
      <c r="I4" s="2" t="n"/>
      <c r="J4" s="2" t="n"/>
    </row>
    <row r="5">
      <c r="A5" s="2" t="n">
        <v>2028</v>
      </c>
      <c r="B5" s="2">
        <f>0.25</f>
        <v/>
      </c>
      <c r="C5" s="7">
        <f>MIN(Assumptions!B8,35%+(ROW()-4)*5%)</f>
        <v/>
      </c>
      <c r="D5" s="6">
        <f>B5*C5</f>
        <v/>
      </c>
      <c r="E5" s="6">
        <f>D5*Assumptions!B9</f>
        <v/>
      </c>
      <c r="F5" s="6">
        <f>0</f>
        <v/>
      </c>
      <c r="G5" s="2" t="n"/>
      <c r="H5" s="2" t="n"/>
      <c r="I5" s="2" t="n"/>
      <c r="J5" s="2" t="n"/>
    </row>
    <row r="6">
      <c r="A6" s="2" t="n">
        <v>2029</v>
      </c>
      <c r="B6" s="2">
        <f>0.25</f>
        <v/>
      </c>
      <c r="C6" s="7">
        <f>MIN(Assumptions!B8,35%+(ROW()-4)*5%)</f>
        <v/>
      </c>
      <c r="D6" s="6">
        <f>B6*C6</f>
        <v/>
      </c>
      <c r="E6" s="6">
        <f>D6*Assumptions!B9</f>
        <v/>
      </c>
      <c r="F6" s="6">
        <f>0</f>
        <v/>
      </c>
      <c r="G6" s="2" t="n"/>
      <c r="H6" s="2" t="n"/>
      <c r="I6" s="2" t="n"/>
      <c r="J6" s="2" t="n"/>
    </row>
    <row r="7">
      <c r="A7" s="2" t="n">
        <v>2030</v>
      </c>
      <c r="B7" s="2">
        <f>0.25</f>
        <v/>
      </c>
      <c r="C7" s="7">
        <f>MIN(Assumptions!B8,35%+(ROW()-4)*5%)</f>
        <v/>
      </c>
      <c r="D7" s="6">
        <f>B7*C7</f>
        <v/>
      </c>
      <c r="E7" s="6">
        <f>D7*Assumptions!B9</f>
        <v/>
      </c>
      <c r="F7" s="6">
        <f>0</f>
        <v/>
      </c>
      <c r="G7" s="2" t="n"/>
      <c r="H7" s="2" t="n"/>
      <c r="I7" s="2" t="n"/>
      <c r="J7" s="2" t="n"/>
    </row>
    <row r="8">
      <c r="A8" s="2" t="n">
        <v>2031</v>
      </c>
      <c r="B8" s="2">
        <f>0.50</f>
        <v/>
      </c>
      <c r="C8" s="7">
        <f>MIN(Assumptions!B8,35%+(ROW()-4)*5%)</f>
        <v/>
      </c>
      <c r="D8" s="6">
        <f>B8*C8</f>
        <v/>
      </c>
      <c r="E8" s="6">
        <f>D8*Assumptions!B9</f>
        <v/>
      </c>
      <c r="F8" s="6">
        <f>Assumptions!B13</f>
        <v/>
      </c>
      <c r="G8" s="2" t="n"/>
      <c r="H8" s="2" t="n"/>
      <c r="I8" s="2" t="n"/>
      <c r="J8" s="2" t="n"/>
    </row>
    <row r="9">
      <c r="A9" s="2" t="n">
        <v>2032</v>
      </c>
      <c r="B9" s="2">
        <f>0.50</f>
        <v/>
      </c>
      <c r="C9" s="7">
        <f>MIN(Assumptions!B8,35%+(ROW()-4)*5%)</f>
        <v/>
      </c>
      <c r="D9" s="6">
        <f>B9*C9</f>
        <v/>
      </c>
      <c r="E9" s="6">
        <f>D9*Assumptions!B9</f>
        <v/>
      </c>
      <c r="F9" s="6">
        <f>0</f>
        <v/>
      </c>
      <c r="G9" s="2" t="n"/>
      <c r="H9" s="2" t="n"/>
      <c r="I9" s="2" t="n"/>
      <c r="J9" s="2" t="n"/>
    </row>
    <row r="10">
      <c r="A10" s="2" t="n">
        <v>2033</v>
      </c>
      <c r="B10" s="2">
        <f>0.50</f>
        <v/>
      </c>
      <c r="C10" s="7">
        <f>MIN(Assumptions!B8,35%+(ROW()-4)*5%)</f>
        <v/>
      </c>
      <c r="D10" s="6">
        <f>B10*C10</f>
        <v/>
      </c>
      <c r="E10" s="6">
        <f>D10*Assumptions!B9</f>
        <v/>
      </c>
      <c r="F10" s="6">
        <f>0</f>
        <v/>
      </c>
      <c r="G10" s="2" t="n"/>
      <c r="H10" s="2" t="n"/>
      <c r="I10" s="2" t="n"/>
      <c r="J10" s="2" t="n"/>
    </row>
    <row r="11">
      <c r="A11" s="2" t="n">
        <v>2034</v>
      </c>
      <c r="B11" s="2">
        <f>0.50</f>
        <v/>
      </c>
      <c r="C11" s="7">
        <f>MIN(Assumptions!B8,35%+(ROW()-4)*5%)</f>
        <v/>
      </c>
      <c r="D11" s="6">
        <f>B11*C11</f>
        <v/>
      </c>
      <c r="E11" s="6">
        <f>D11*Assumptions!B9</f>
        <v/>
      </c>
      <c r="F11" s="6">
        <f>0</f>
        <v/>
      </c>
      <c r="G11" s="2" t="n"/>
      <c r="H11" s="2" t="n"/>
      <c r="I11" s="2" t="n"/>
      <c r="J11" s="2" t="n"/>
    </row>
    <row r="12">
      <c r="A12" s="2" t="n">
        <v>2035</v>
      </c>
      <c r="B12" s="2">
        <f>0.50</f>
        <v/>
      </c>
      <c r="C12" s="7">
        <f>MIN(Assumptions!B8,35%+(ROW()-4)*5%)</f>
        <v/>
      </c>
      <c r="D12" s="6">
        <f>B12*C12</f>
        <v/>
      </c>
      <c r="E12" s="6">
        <f>D12*Assumptions!B9</f>
        <v/>
      </c>
      <c r="F12" s="6">
        <f>0</f>
        <v/>
      </c>
      <c r="G12" s="2" t="n"/>
      <c r="H12" s="2" t="n"/>
      <c r="I12" s="2" t="n"/>
      <c r="J12" s="2" t="n"/>
    </row>
    <row r="13">
      <c r="A13" s="2" t="n">
        <v>2036</v>
      </c>
      <c r="B13" s="2">
        <f>0.50</f>
        <v/>
      </c>
      <c r="C13" s="7">
        <f>MIN(Assumptions!B8,35%+(ROW()-4)*5%)</f>
        <v/>
      </c>
      <c r="D13" s="6">
        <f>B13*C13</f>
        <v/>
      </c>
      <c r="E13" s="6">
        <f>D13*Assumptions!B9</f>
        <v/>
      </c>
      <c r="F13" s="6">
        <f>0</f>
        <v/>
      </c>
      <c r="G13" s="2" t="n"/>
      <c r="H13" s="2" t="n"/>
      <c r="I13" s="2" t="n"/>
      <c r="J13" s="2" t="n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28" customWidth="1" min="3" max="3"/>
    <col width="24" customWidth="1" min="4" max="4"/>
    <col width="18" customWidth="1" min="5" max="5"/>
    <col width="12" customWidth="1" min="6" max="6"/>
    <col width="21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Illustrative Operating Model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Year</t>
        </is>
      </c>
      <c r="B3" s="4" t="inlineStr">
        <is>
          <t>Revenue ₹cr</t>
        </is>
      </c>
      <c r="C3" s="4" t="inlineStr">
        <is>
          <t>Variable Cost ₹cr</t>
        </is>
      </c>
      <c r="D3" s="4" t="inlineStr">
        <is>
          <t>Gross Contribution ₹cr</t>
        </is>
      </c>
      <c r="E3" s="4" t="inlineStr">
        <is>
          <t>Fixed Cost ₹cr</t>
        </is>
      </c>
      <c r="F3" s="4" t="inlineStr">
        <is>
          <t>EBITDA ₹cr</t>
        </is>
      </c>
      <c r="G3" s="4" t="inlineStr">
        <is>
          <t>EBITDA Margin</t>
        </is>
      </c>
      <c r="H3" s="2" t="n"/>
      <c r="I3" s="2" t="n"/>
      <c r="J3" s="2" t="n"/>
    </row>
    <row r="4">
      <c r="A4" s="2" t="n">
        <v>2027</v>
      </c>
      <c r="B4" s="6">
        <f>Capacity!E4</f>
        <v/>
      </c>
      <c r="C4" s="6">
        <f>Capacity!D4*Assumptions!B10</f>
        <v/>
      </c>
      <c r="D4" s="6">
        <f>B4-C4</f>
        <v/>
      </c>
      <c r="E4" s="6">
        <f>Assumptions!B11</f>
        <v/>
      </c>
      <c r="F4" s="6">
        <f>D4-E4</f>
        <v/>
      </c>
      <c r="G4" s="7">
        <f>IFERROR(F4/B4,0)</f>
        <v/>
      </c>
      <c r="H4" s="2" t="n"/>
      <c r="I4" s="2" t="n"/>
      <c r="J4" s="2" t="n"/>
    </row>
    <row r="5">
      <c r="A5" s="2" t="n">
        <v>2028</v>
      </c>
      <c r="B5" s="6">
        <f>Capacity!E5</f>
        <v/>
      </c>
      <c r="C5" s="6">
        <f>Capacity!D5*Assumptions!B10</f>
        <v/>
      </c>
      <c r="D5" s="6">
        <f>B5-C5</f>
        <v/>
      </c>
      <c r="E5" s="6">
        <f>Assumptions!B11</f>
        <v/>
      </c>
      <c r="F5" s="6">
        <f>D5-E5</f>
        <v/>
      </c>
      <c r="G5" s="7">
        <f>IFERROR(F5/B5,0)</f>
        <v/>
      </c>
      <c r="H5" s="2" t="n"/>
      <c r="I5" s="2" t="n"/>
      <c r="J5" s="2" t="n"/>
    </row>
    <row r="6">
      <c r="A6" s="2" t="n">
        <v>2029</v>
      </c>
      <c r="B6" s="6">
        <f>Capacity!E6</f>
        <v/>
      </c>
      <c r="C6" s="6">
        <f>Capacity!D6*Assumptions!B10</f>
        <v/>
      </c>
      <c r="D6" s="6">
        <f>B6-C6</f>
        <v/>
      </c>
      <c r="E6" s="6">
        <f>Assumptions!B11</f>
        <v/>
      </c>
      <c r="F6" s="6">
        <f>D6-E6</f>
        <v/>
      </c>
      <c r="G6" s="7">
        <f>IFERROR(F6/B6,0)</f>
        <v/>
      </c>
      <c r="H6" s="2" t="n"/>
      <c r="I6" s="2" t="n"/>
      <c r="J6" s="2" t="n"/>
    </row>
    <row r="7">
      <c r="A7" s="2" t="n">
        <v>2030</v>
      </c>
      <c r="B7" s="6">
        <f>Capacity!E7</f>
        <v/>
      </c>
      <c r="C7" s="6">
        <f>Capacity!D7*Assumptions!B10</f>
        <v/>
      </c>
      <c r="D7" s="6">
        <f>B7-C7</f>
        <v/>
      </c>
      <c r="E7" s="6">
        <f>Assumptions!B11</f>
        <v/>
      </c>
      <c r="F7" s="6">
        <f>D7-E7</f>
        <v/>
      </c>
      <c r="G7" s="7">
        <f>IFERROR(F7/B7,0)</f>
        <v/>
      </c>
      <c r="H7" s="2" t="n"/>
      <c r="I7" s="2" t="n"/>
      <c r="J7" s="2" t="n"/>
    </row>
    <row r="8">
      <c r="A8" s="2" t="n">
        <v>2031</v>
      </c>
      <c r="B8" s="6">
        <f>Capacity!E8</f>
        <v/>
      </c>
      <c r="C8" s="6">
        <f>Capacity!D8*Assumptions!B10</f>
        <v/>
      </c>
      <c r="D8" s="6">
        <f>B8-C8</f>
        <v/>
      </c>
      <c r="E8" s="6">
        <f>Assumptions!B11</f>
        <v/>
      </c>
      <c r="F8" s="6">
        <f>D8-E8</f>
        <v/>
      </c>
      <c r="G8" s="7">
        <f>IFERROR(F8/B8,0)</f>
        <v/>
      </c>
      <c r="H8" s="2" t="n"/>
      <c r="I8" s="2" t="n"/>
      <c r="J8" s="2" t="n"/>
    </row>
    <row r="9">
      <c r="A9" s="2" t="n">
        <v>2032</v>
      </c>
      <c r="B9" s="6">
        <f>Capacity!E9</f>
        <v/>
      </c>
      <c r="C9" s="6">
        <f>Capacity!D9*Assumptions!B10</f>
        <v/>
      </c>
      <c r="D9" s="6">
        <f>B9-C9</f>
        <v/>
      </c>
      <c r="E9" s="6">
        <f>Assumptions!B11</f>
        <v/>
      </c>
      <c r="F9" s="6">
        <f>D9-E9</f>
        <v/>
      </c>
      <c r="G9" s="7">
        <f>IFERROR(F9/B9,0)</f>
        <v/>
      </c>
      <c r="H9" s="2" t="n"/>
      <c r="I9" s="2" t="n"/>
      <c r="J9" s="2" t="n"/>
    </row>
    <row r="10">
      <c r="A10" s="2" t="n">
        <v>2033</v>
      </c>
      <c r="B10" s="6">
        <f>Capacity!E10</f>
        <v/>
      </c>
      <c r="C10" s="6">
        <f>Capacity!D10*Assumptions!B10</f>
        <v/>
      </c>
      <c r="D10" s="6">
        <f>B10-C10</f>
        <v/>
      </c>
      <c r="E10" s="6">
        <f>Assumptions!B11</f>
        <v/>
      </c>
      <c r="F10" s="6">
        <f>D10-E10</f>
        <v/>
      </c>
      <c r="G10" s="7">
        <f>IFERROR(F10/B10,0)</f>
        <v/>
      </c>
      <c r="H10" s="2" t="n"/>
      <c r="I10" s="2" t="n"/>
      <c r="J10" s="2" t="n"/>
    </row>
    <row r="11">
      <c r="A11" s="2" t="n">
        <v>2034</v>
      </c>
      <c r="B11" s="6">
        <f>Capacity!E11</f>
        <v/>
      </c>
      <c r="C11" s="6">
        <f>Capacity!D11*Assumptions!B10</f>
        <v/>
      </c>
      <c r="D11" s="6">
        <f>B11-C11</f>
        <v/>
      </c>
      <c r="E11" s="6">
        <f>Assumptions!B11</f>
        <v/>
      </c>
      <c r="F11" s="6">
        <f>D11-E11</f>
        <v/>
      </c>
      <c r="G11" s="7">
        <f>IFERROR(F11/B11,0)</f>
        <v/>
      </c>
      <c r="H11" s="2" t="n"/>
      <c r="I11" s="2" t="n"/>
      <c r="J11" s="2" t="n"/>
    </row>
    <row r="12">
      <c r="A12" s="2" t="n">
        <v>2035</v>
      </c>
      <c r="B12" s="6">
        <f>Capacity!E12</f>
        <v/>
      </c>
      <c r="C12" s="6">
        <f>Capacity!D12*Assumptions!B10</f>
        <v/>
      </c>
      <c r="D12" s="6">
        <f>B12-C12</f>
        <v/>
      </c>
      <c r="E12" s="6">
        <f>Assumptions!B11</f>
        <v/>
      </c>
      <c r="F12" s="6">
        <f>D12-E12</f>
        <v/>
      </c>
      <c r="G12" s="7">
        <f>IFERROR(F12/B12,0)</f>
        <v/>
      </c>
      <c r="H12" s="2" t="n"/>
      <c r="I12" s="2" t="n"/>
      <c r="J12" s="2" t="n"/>
    </row>
    <row r="13">
      <c r="A13" s="2" t="n">
        <v>2036</v>
      </c>
      <c r="B13" s="6">
        <f>Capacity!E13</f>
        <v/>
      </c>
      <c r="C13" s="6">
        <f>Capacity!D13*Assumptions!B10</f>
        <v/>
      </c>
      <c r="D13" s="6">
        <f>B13-C13</f>
        <v/>
      </c>
      <c r="E13" s="6">
        <f>Assumptions!B11</f>
        <v/>
      </c>
      <c r="F13" s="6">
        <f>D13-E13</f>
        <v/>
      </c>
      <c r="G13" s="7">
        <f>IFERROR(F13/B13,0)</f>
        <v/>
      </c>
      <c r="H13" s="2" t="n"/>
      <c r="I13" s="2" t="n"/>
      <c r="J13" s="2" t="n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9" customWidth="1" min="3" max="3"/>
    <col width="23" customWidth="1" min="4" max="4"/>
    <col width="21" customWidth="1" min="5" max="5"/>
    <col width="19" customWidth="1" min="6" max="6"/>
    <col width="22" customWidth="1" min="7" max="7"/>
    <col width="20" customWidth="1" min="8" max="8"/>
    <col width="12" customWidth="1" min="9" max="9"/>
    <col width="12" customWidth="1" min="10" max="10"/>
  </cols>
  <sheetData>
    <row r="1" ht="28" customHeight="1">
      <c r="A1" s="1" t="inlineStr">
        <is>
          <t>Project Cash Flow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Year</t>
        </is>
      </c>
      <c r="B3" s="4" t="inlineStr">
        <is>
          <t>EBITDA ₹cr</t>
        </is>
      </c>
      <c r="C3" s="4" t="inlineStr">
        <is>
          <t>Tax ₹cr</t>
        </is>
      </c>
      <c r="D3" s="4" t="inlineStr">
        <is>
          <t>Maintenance CAPEX ₹cr</t>
        </is>
      </c>
      <c r="E3" s="4" t="inlineStr">
        <is>
          <t>Expansion CAPEX ₹cr</t>
        </is>
      </c>
      <c r="F3" s="4" t="inlineStr">
        <is>
          <t>Initial CAPEX ₹cr</t>
        </is>
      </c>
      <c r="G3" s="4" t="inlineStr">
        <is>
          <t>Free Cash Flow ₹cr</t>
        </is>
      </c>
      <c r="H3" s="4" t="inlineStr">
        <is>
          <t>Cumulative FCF ₹cr</t>
        </is>
      </c>
      <c r="I3" s="2" t="n"/>
      <c r="J3" s="2" t="n"/>
    </row>
    <row r="4">
      <c r="A4" s="2" t="n">
        <v>2027</v>
      </c>
      <c r="B4" s="6">
        <f>P_and_L!F4</f>
        <v/>
      </c>
      <c r="C4" s="6">
        <f>MAX(0,B4*Assumptions!B15)</f>
        <v/>
      </c>
      <c r="D4" s="6">
        <f>Assumptions!B14</f>
        <v/>
      </c>
      <c r="E4" s="6">
        <f>Capacity!F4</f>
        <v/>
      </c>
      <c r="F4" s="6">
        <f>Assumptions!B12</f>
        <v/>
      </c>
      <c r="G4" s="6">
        <f>B4-C4-D4-E4-F4</f>
        <v/>
      </c>
      <c r="H4" s="6">
        <f>G4</f>
        <v/>
      </c>
      <c r="I4" s="2" t="n"/>
      <c r="J4" s="2" t="n"/>
    </row>
    <row r="5">
      <c r="A5" s="2" t="n">
        <v>2028</v>
      </c>
      <c r="B5" s="6">
        <f>P_and_L!F5</f>
        <v/>
      </c>
      <c r="C5" s="6">
        <f>MAX(0,B5*Assumptions!B15)</f>
        <v/>
      </c>
      <c r="D5" s="6">
        <f>Assumptions!B14</f>
        <v/>
      </c>
      <c r="E5" s="6">
        <f>Capacity!F5</f>
        <v/>
      </c>
      <c r="F5" s="6">
        <f>0</f>
        <v/>
      </c>
      <c r="G5" s="6">
        <f>B5-C5-D5-E5-F5</f>
        <v/>
      </c>
      <c r="H5" s="6">
        <f>H4+G5</f>
        <v/>
      </c>
      <c r="I5" s="2" t="n"/>
      <c r="J5" s="2" t="n"/>
    </row>
    <row r="6">
      <c r="A6" s="2" t="n">
        <v>2029</v>
      </c>
      <c r="B6" s="6">
        <f>P_and_L!F6</f>
        <v/>
      </c>
      <c r="C6" s="6">
        <f>MAX(0,B6*Assumptions!B15)</f>
        <v/>
      </c>
      <c r="D6" s="6">
        <f>Assumptions!B14</f>
        <v/>
      </c>
      <c r="E6" s="6">
        <f>Capacity!F6</f>
        <v/>
      </c>
      <c r="F6" s="6">
        <f>0</f>
        <v/>
      </c>
      <c r="G6" s="6">
        <f>B6-C6-D6-E6-F6</f>
        <v/>
      </c>
      <c r="H6" s="6">
        <f>H5+G6</f>
        <v/>
      </c>
      <c r="I6" s="2" t="n"/>
      <c r="J6" s="2" t="n"/>
    </row>
    <row r="7">
      <c r="A7" s="2" t="n">
        <v>2030</v>
      </c>
      <c r="B7" s="6">
        <f>P_and_L!F7</f>
        <v/>
      </c>
      <c r="C7" s="6">
        <f>MAX(0,B7*Assumptions!B15)</f>
        <v/>
      </c>
      <c r="D7" s="6">
        <f>Assumptions!B14</f>
        <v/>
      </c>
      <c r="E7" s="6">
        <f>Capacity!F7</f>
        <v/>
      </c>
      <c r="F7" s="6">
        <f>0</f>
        <v/>
      </c>
      <c r="G7" s="6">
        <f>B7-C7-D7-E7-F7</f>
        <v/>
      </c>
      <c r="H7" s="6">
        <f>H6+G7</f>
        <v/>
      </c>
      <c r="I7" s="2" t="n"/>
      <c r="J7" s="2" t="n"/>
    </row>
    <row r="8">
      <c r="A8" s="2" t="n">
        <v>2031</v>
      </c>
      <c r="B8" s="6">
        <f>P_and_L!F8</f>
        <v/>
      </c>
      <c r="C8" s="6">
        <f>MAX(0,B8*Assumptions!B15)</f>
        <v/>
      </c>
      <c r="D8" s="6">
        <f>Assumptions!B14</f>
        <v/>
      </c>
      <c r="E8" s="6">
        <f>Capacity!F8</f>
        <v/>
      </c>
      <c r="F8" s="6">
        <f>0</f>
        <v/>
      </c>
      <c r="G8" s="6">
        <f>B8-C8-D8-E8-F8</f>
        <v/>
      </c>
      <c r="H8" s="6">
        <f>H7+G8</f>
        <v/>
      </c>
      <c r="I8" s="2" t="n"/>
      <c r="J8" s="2" t="n"/>
    </row>
    <row r="9">
      <c r="A9" s="2" t="n">
        <v>2032</v>
      </c>
      <c r="B9" s="6">
        <f>P_and_L!F9</f>
        <v/>
      </c>
      <c r="C9" s="6">
        <f>MAX(0,B9*Assumptions!B15)</f>
        <v/>
      </c>
      <c r="D9" s="6">
        <f>Assumptions!B14</f>
        <v/>
      </c>
      <c r="E9" s="6">
        <f>Capacity!F9</f>
        <v/>
      </c>
      <c r="F9" s="6">
        <f>0</f>
        <v/>
      </c>
      <c r="G9" s="6">
        <f>B9-C9-D9-E9-F9</f>
        <v/>
      </c>
      <c r="H9" s="6">
        <f>H8+G9</f>
        <v/>
      </c>
      <c r="I9" s="2" t="n"/>
      <c r="J9" s="2" t="n"/>
    </row>
    <row r="10">
      <c r="A10" s="2" t="n">
        <v>2033</v>
      </c>
      <c r="B10" s="6">
        <f>P_and_L!F10</f>
        <v/>
      </c>
      <c r="C10" s="6">
        <f>MAX(0,B10*Assumptions!B15)</f>
        <v/>
      </c>
      <c r="D10" s="6">
        <f>Assumptions!B14</f>
        <v/>
      </c>
      <c r="E10" s="6">
        <f>Capacity!F10</f>
        <v/>
      </c>
      <c r="F10" s="6">
        <f>0</f>
        <v/>
      </c>
      <c r="G10" s="6">
        <f>B10-C10-D10-E10-F10</f>
        <v/>
      </c>
      <c r="H10" s="6">
        <f>H9+G10</f>
        <v/>
      </c>
      <c r="I10" s="2" t="n"/>
      <c r="J10" s="2" t="n"/>
    </row>
    <row r="11">
      <c r="A11" s="2" t="n">
        <v>2034</v>
      </c>
      <c r="B11" s="6">
        <f>P_and_L!F11</f>
        <v/>
      </c>
      <c r="C11" s="6">
        <f>MAX(0,B11*Assumptions!B15)</f>
        <v/>
      </c>
      <c r="D11" s="6">
        <f>Assumptions!B14</f>
        <v/>
      </c>
      <c r="E11" s="6">
        <f>Capacity!F11</f>
        <v/>
      </c>
      <c r="F11" s="6">
        <f>0</f>
        <v/>
      </c>
      <c r="G11" s="6">
        <f>B11-C11-D11-E11-F11</f>
        <v/>
      </c>
      <c r="H11" s="6">
        <f>H10+G11</f>
        <v/>
      </c>
      <c r="I11" s="2" t="n"/>
      <c r="J11" s="2" t="n"/>
    </row>
    <row r="12">
      <c r="A12" s="2" t="n">
        <v>2035</v>
      </c>
      <c r="B12" s="6">
        <f>P_and_L!F12</f>
        <v/>
      </c>
      <c r="C12" s="6">
        <f>MAX(0,B12*Assumptions!B15)</f>
        <v/>
      </c>
      <c r="D12" s="6">
        <f>Assumptions!B14</f>
        <v/>
      </c>
      <c r="E12" s="6">
        <f>Capacity!F12</f>
        <v/>
      </c>
      <c r="F12" s="6">
        <f>0</f>
        <v/>
      </c>
      <c r="G12" s="6">
        <f>B12-C12-D12-E12-F12</f>
        <v/>
      </c>
      <c r="H12" s="6">
        <f>H11+G12</f>
        <v/>
      </c>
      <c r="I12" s="2" t="n"/>
      <c r="J12" s="2" t="n"/>
    </row>
    <row r="13">
      <c r="A13" s="2" t="n">
        <v>2036</v>
      </c>
      <c r="B13" s="6">
        <f>P_and_L!F13</f>
        <v/>
      </c>
      <c r="C13" s="6">
        <f>MAX(0,B13*Assumptions!B15)</f>
        <v/>
      </c>
      <c r="D13" s="6">
        <f>Assumptions!B14</f>
        <v/>
      </c>
      <c r="E13" s="6">
        <f>Capacity!F13</f>
        <v/>
      </c>
      <c r="F13" s="6">
        <f>0</f>
        <v/>
      </c>
      <c r="G13" s="6">
        <f>B13-C13-D13-E13-F13</f>
        <v/>
      </c>
      <c r="H13" s="6">
        <f>H12+G13</f>
        <v/>
      </c>
      <c r="I13" s="2" t="n"/>
      <c r="J13" s="2" t="n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Investment Returns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Metric</t>
        </is>
      </c>
      <c r="B3" s="4" t="inlineStr">
        <is>
          <t>Value</t>
        </is>
      </c>
      <c r="C3" s="4" t="inlineStr">
        <is>
          <t>Interpretation</t>
        </is>
      </c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Total revenue 2027–2036</t>
        </is>
      </c>
      <c r="B4" s="2">
        <f>SUM(P_and_L!B4:B13)</f>
        <v/>
      </c>
      <c r="C4" s="2" t="inlineStr">
        <is>
          <t>Cumulative revenue</t>
        </is>
      </c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Peak annual revenue</t>
        </is>
      </c>
      <c r="B5" s="2">
        <f>MAX(P_and_L!B4:B13)</f>
        <v/>
      </c>
      <c r="C5" s="2" t="inlineStr">
        <is>
          <t>Highest modeled annual revenue</t>
        </is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Peak EBITDA</t>
        </is>
      </c>
      <c r="B6" s="2">
        <f>MAX(P_and_L!F4:F13)</f>
        <v/>
      </c>
      <c r="C6" s="2" t="inlineStr">
        <is>
          <t>Highest modeled EBITDA</t>
        </is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Total CAPEX</t>
        </is>
      </c>
      <c r="B7" s="2">
        <f>SUM(Cash_Flow!D4:F13)</f>
        <v/>
      </c>
      <c r="C7" s="2" t="inlineStr">
        <is>
          <t>Initial + expansion + maintenance</t>
        </is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Cumulative FCF</t>
        </is>
      </c>
      <c r="B8" s="2">
        <f>Cash_Flow!H13</f>
        <v/>
      </c>
      <c r="C8" s="2" t="inlineStr">
        <is>
          <t>End-period cumulative project FCF</t>
        </is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NPV @ discount rate</t>
        </is>
      </c>
      <c r="B9" s="6">
        <f>NPV(Assumptions!B16,Cash_Flow!G4:G13)</f>
        <v/>
      </c>
      <c r="C9" s="2" t="inlineStr">
        <is>
          <t>Simplified project NPV</t>
        </is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IRR</t>
        </is>
      </c>
      <c r="B10" s="6">
        <f>IRR(Cash_Flow!G4:G13)</f>
        <v/>
      </c>
      <c r="C10" s="2" t="inlineStr">
        <is>
          <t>Unlevered project IRR proxy</t>
        </is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Payback year</t>
        </is>
      </c>
      <c r="B11" s="7">
        <f>IFERROR(INDEX(Cash_Flow!A4:A13,MATCH(TRUE,INDEX(Cash_Flow!H4:H13&gt;=0,0),0)),"Beyond 2036")</f>
        <v/>
      </c>
      <c r="C11" s="2" t="inlineStr">
        <is>
          <t>First year cumulative FCF turns positive</t>
        </is>
      </c>
      <c r="D11" s="2" t="n"/>
      <c r="E11" s="2" t="n"/>
      <c r="F11" s="2" t="n"/>
      <c r="G11" s="2" t="n"/>
      <c r="H11" s="2" t="n"/>
      <c r="I11" s="2" t="n"/>
      <c r="J11" s="2" t="n"/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25" customWidth="1" min="3" max="3"/>
    <col width="32" customWidth="1" min="4" max="4"/>
    <col width="20" customWidth="1" min="5" max="5"/>
    <col width="3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Demand Scenario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Scenario</t>
        </is>
      </c>
      <c r="B3" s="4" t="inlineStr">
        <is>
          <t>Market Growth</t>
        </is>
      </c>
      <c r="C3" s="4" t="inlineStr">
        <is>
          <t>Target Share Multiplier</t>
        </is>
      </c>
      <c r="D3" s="4" t="inlineStr">
        <is>
          <t>Capacity Utilization Multiplier</t>
        </is>
      </c>
      <c r="E3" s="4" t="inlineStr">
        <is>
          <t>Revenue Multiplier</t>
        </is>
      </c>
      <c r="F3" s="4" t="inlineStr">
        <is>
          <t>Interpretation</t>
        </is>
      </c>
      <c r="G3" s="2" t="n"/>
      <c r="H3" s="2" t="n"/>
      <c r="I3" s="2" t="n"/>
      <c r="J3" s="2" t="n"/>
    </row>
    <row r="4">
      <c r="A4" s="2" t="inlineStr">
        <is>
          <t>Downside</t>
        </is>
      </c>
      <c r="B4" s="7" t="n">
        <v>7</v>
      </c>
      <c r="C4" s="9" t="n">
        <v>0.75</v>
      </c>
      <c r="D4" s="9" t="n">
        <v>0.85</v>
      </c>
      <c r="E4" s="9">
        <f>C4*D4</f>
        <v/>
      </c>
      <c r="F4" s="2" t="inlineStr">
        <is>
          <t>Slower market + lower share/utilization</t>
        </is>
      </c>
      <c r="G4" s="2" t="n"/>
      <c r="H4" s="2" t="n"/>
      <c r="I4" s="2" t="n"/>
      <c r="J4" s="2" t="n"/>
    </row>
    <row r="5">
      <c r="A5" s="2" t="inlineStr">
        <is>
          <t>Base</t>
        </is>
      </c>
      <c r="B5" s="7" t="n">
        <v>9</v>
      </c>
      <c r="C5" s="9" t="n">
        <v>1</v>
      </c>
      <c r="D5" s="9" t="n">
        <v>1</v>
      </c>
      <c r="E5" s="9">
        <f>C5*D5</f>
        <v/>
      </c>
      <c r="F5" s="2" t="inlineStr">
        <is>
          <t>Base planning case</t>
        </is>
      </c>
      <c r="G5" s="2" t="n"/>
      <c r="H5" s="2" t="n"/>
      <c r="I5" s="2" t="n"/>
      <c r="J5" s="2" t="n"/>
    </row>
    <row r="6">
      <c r="A6" s="2" t="inlineStr">
        <is>
          <t>Upside</t>
        </is>
      </c>
      <c r="B6" s="7" t="n">
        <v>11</v>
      </c>
      <c r="C6" s="9" t="n">
        <v>1.2</v>
      </c>
      <c r="D6" s="9" t="n">
        <v>1.1</v>
      </c>
      <c r="E6" s="9">
        <f>C6*D6</f>
        <v/>
      </c>
      <c r="F6" s="2" t="inlineStr">
        <is>
          <t>Higher market + stronger share/utilization</t>
        </is>
      </c>
      <c r="G6" s="2" t="n"/>
      <c r="H6" s="2" t="n"/>
      <c r="I6" s="2" t="n"/>
      <c r="J6" s="2" t="n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Illustrative NPV Sensitivity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NPV sensitivity to utilization and ASP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Utilization \ ASP</t>
        </is>
      </c>
      <c r="B4" s="10" t="n">
        <v>1</v>
      </c>
      <c r="C4" s="10" t="n">
        <v>1.1</v>
      </c>
      <c r="D4" s="10" t="n">
        <v>1.2</v>
      </c>
      <c r="E4" s="10" t="n">
        <v>1.3</v>
      </c>
      <c r="F4" s="10" t="n">
        <v>1.4</v>
      </c>
      <c r="G4" s="2" t="n"/>
      <c r="H4" s="2" t="n"/>
      <c r="I4" s="2" t="n"/>
      <c r="J4" s="2" t="n"/>
    </row>
    <row r="5">
      <c r="A5" s="11" t="n">
        <v>0.6</v>
      </c>
      <c r="B5" s="6">
        <f>Returns!B9*((($B/1.20)*($A5/0.80))-1)+Returns!B9</f>
        <v/>
      </c>
      <c r="C5" s="6">
        <f>Returns!B9*((($C/1.20)*($A5/0.80))-1)+Returns!B9</f>
        <v/>
      </c>
      <c r="D5" s="6">
        <f>Returns!B9*((($D/1.20)*($A5/0.80))-1)+Returns!B9</f>
        <v/>
      </c>
      <c r="E5" s="6">
        <f>Returns!B9*((($E/1.20)*($A5/0.80))-1)+Returns!B9</f>
        <v/>
      </c>
      <c r="F5" s="6">
        <f>Returns!B9*((($F/1.20)*($A5/0.80))-1)+Returns!B9</f>
        <v/>
      </c>
      <c r="G5" s="2" t="n"/>
      <c r="H5" s="2" t="n"/>
      <c r="I5" s="2" t="n"/>
      <c r="J5" s="2" t="n"/>
    </row>
    <row r="6">
      <c r="A6" s="11" t="n">
        <v>0.65</v>
      </c>
      <c r="B6" s="6">
        <f>Returns!B9*((($B/1.20)*($A6/0.80))-1)+Returns!B9</f>
        <v/>
      </c>
      <c r="C6" s="6">
        <f>Returns!B9*((($C/1.20)*($A6/0.80))-1)+Returns!B9</f>
        <v/>
      </c>
      <c r="D6" s="6">
        <f>Returns!B9*((($D/1.20)*($A6/0.80))-1)+Returns!B9</f>
        <v/>
      </c>
      <c r="E6" s="6">
        <f>Returns!B9*((($E/1.20)*($A6/0.80))-1)+Returns!B9</f>
        <v/>
      </c>
      <c r="F6" s="6">
        <f>Returns!B9*((($F/1.20)*($A6/0.80))-1)+Returns!B9</f>
        <v/>
      </c>
      <c r="G6" s="2" t="n"/>
      <c r="H6" s="2" t="n"/>
      <c r="I6" s="2" t="n"/>
      <c r="J6" s="2" t="n"/>
    </row>
    <row r="7">
      <c r="A7" s="11" t="n">
        <v>0.7</v>
      </c>
      <c r="B7" s="6">
        <f>Returns!B9*((($B/1.20)*($A7/0.80))-1)+Returns!B9</f>
        <v/>
      </c>
      <c r="C7" s="6">
        <f>Returns!B9*((($C/1.20)*($A7/0.80))-1)+Returns!B9</f>
        <v/>
      </c>
      <c r="D7" s="6">
        <f>Returns!B9*((($D/1.20)*($A7/0.80))-1)+Returns!B9</f>
        <v/>
      </c>
      <c r="E7" s="6">
        <f>Returns!B9*((($E/1.20)*($A7/0.80))-1)+Returns!B9</f>
        <v/>
      </c>
      <c r="F7" s="6">
        <f>Returns!B9*((($F/1.20)*($A7/0.80))-1)+Returns!B9</f>
        <v/>
      </c>
      <c r="G7" s="2" t="n"/>
      <c r="H7" s="2" t="n"/>
      <c r="I7" s="2" t="n"/>
      <c r="J7" s="2" t="n"/>
    </row>
    <row r="8">
      <c r="A8" s="11" t="n">
        <v>0.75</v>
      </c>
      <c r="B8" s="6">
        <f>Returns!B9*((($B/1.20)*($A8/0.80))-1)+Returns!B9</f>
        <v/>
      </c>
      <c r="C8" s="6">
        <f>Returns!B9*((($C/1.20)*($A8/0.80))-1)+Returns!B9</f>
        <v/>
      </c>
      <c r="D8" s="6">
        <f>Returns!B9*((($D/1.20)*($A8/0.80))-1)+Returns!B9</f>
        <v/>
      </c>
      <c r="E8" s="6">
        <f>Returns!B9*((($E/1.20)*($A8/0.80))-1)+Returns!B9</f>
        <v/>
      </c>
      <c r="F8" s="6">
        <f>Returns!B9*((($F/1.20)*($A8/0.80))-1)+Returns!B9</f>
        <v/>
      </c>
      <c r="G8" s="2" t="n"/>
      <c r="H8" s="2" t="n"/>
      <c r="I8" s="2" t="n"/>
      <c r="J8" s="2" t="n"/>
    </row>
    <row r="9">
      <c r="A9" s="11" t="n">
        <v>0.8</v>
      </c>
      <c r="B9" s="6">
        <f>Returns!B9*((($B/1.20)*($A9/0.80))-1)+Returns!B9</f>
        <v/>
      </c>
      <c r="C9" s="6">
        <f>Returns!B9*((($C/1.20)*($A9/0.80))-1)+Returns!B9</f>
        <v/>
      </c>
      <c r="D9" s="6">
        <f>Returns!B9*((($D/1.20)*($A9/0.80))-1)+Returns!B9</f>
        <v/>
      </c>
      <c r="E9" s="6">
        <f>Returns!B9*((($E/1.20)*($A9/0.80))-1)+Returns!B9</f>
        <v/>
      </c>
      <c r="F9" s="6">
        <f>Returns!B9*((($F/1.20)*($A9/0.80))-1)+Returns!B9</f>
        <v/>
      </c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Note</t>
        </is>
      </c>
      <c r="B11" s="2" t="inlineStr">
        <is>
          <t>Sensitivity is directional and intended for screening; detailed transaction-grade sensitivity should be rebuilt after validated pricing, utilization and cost inputs.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</sheetData>
  <mergeCells count="2">
    <mergeCell ref="A1:J1"/>
    <mergeCell ref="B11:F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Model Checks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Check</t>
        </is>
      </c>
      <c r="B3" s="4" t="inlineStr">
        <is>
          <t>Test</t>
        </is>
      </c>
      <c r="C3" s="4" t="inlineStr">
        <is>
          <t>Status</t>
        </is>
      </c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Demand growth linked</t>
        </is>
      </c>
      <c r="B4" s="2">
        <f>IF(Demand!B5=Demand!B4*(1+Assumptions!B5/100),"PASS","CHECK")</f>
        <v/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Revenue linked to capacity</t>
        </is>
      </c>
      <c r="B5" s="2">
        <f>IF(P_and_L!B4=Capacity!E4,"PASS","CHECK")</f>
        <v/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EBITDA formula</t>
        </is>
      </c>
      <c r="B6" s="2">
        <f>IF(P_and_L!F4=P_and_L!D4-P_and_L!E4,"PASS","CHECK")</f>
        <v/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Cash flow formula</t>
        </is>
      </c>
      <c r="B7" s="2">
        <f>IF(Cash_Flow!G4=Cash_Flow!B4-Cash_Flow!C4-Cash_Flow!D4-Cash_Flow!E4-Cash_Flow!F4,"PASS","CHECK")</f>
        <v/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Model sheets present</t>
        </is>
      </c>
      <c r="B8" s="2">
        <f>IF(COUNTA(Assumptions!A4:A17)&gt;0,"PASS","CHECK")</f>
        <v/>
      </c>
      <c r="C8" s="2" t="n"/>
      <c r="D8" s="2" t="n"/>
      <c r="E8" s="2" t="n"/>
      <c r="F8" s="2" t="n"/>
      <c r="G8" s="2" t="n"/>
      <c r="H8" s="2" t="n"/>
      <c r="I8" s="2" t="n"/>
      <c r="J8" s="2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2026-09-23T16:43:06Z</dcterms:created>
  <dcterms:modified xmlns:dcterms="http://purl.org/dc/terms/" xmlns:xsi="http://www.w3.org/2001/XMLSchema-instance" xsi:type="dcterms:W3CDTF">2026-09-23T16:43:06Z</dcterms:modified>
</cp:coreProperties>
</file>